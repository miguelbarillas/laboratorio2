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udiante\Desktop\3LabIIA\"/>
    </mc:Choice>
  </mc:AlternateContent>
  <bookViews>
    <workbookView xWindow="0" yWindow="0" windowWidth="19200" windowHeight="11595"/>
  </bookViews>
  <sheets>
    <sheet name="Main" sheetId="1" r:id="rId1"/>
    <sheet name="Platos" sheetId="3" r:id="rId2"/>
  </sheets>
  <definedNames>
    <definedName name="_xlnm._FilterDatabase" localSheetId="0" hidden="1">Main!$A$9:$J$153</definedName>
    <definedName name="_xlnm.Print_Area" localSheetId="0">Main!$D$9:$H$9</definedName>
    <definedName name="Platos">Platos!$C$4:$C$50</definedName>
  </definedNames>
  <calcPr calcId="152511"/>
</workbook>
</file>

<file path=xl/calcChain.xml><?xml version="1.0" encoding="utf-8"?>
<calcChain xmlns="http://schemas.openxmlformats.org/spreadsheetml/2006/main">
  <c r="C94" i="1" l="1"/>
  <c r="C12" i="1" l="1"/>
  <c r="I12" i="1" l="1"/>
  <c r="A7" i="1" l="1"/>
  <c r="I94" i="1"/>
  <c r="J94" i="1" s="1"/>
  <c r="I22" i="1"/>
  <c r="J22" i="1" s="1"/>
  <c r="C13" i="1"/>
  <c r="I13" i="1" s="1"/>
  <c r="C14" i="1"/>
  <c r="C23" i="1"/>
  <c r="I23" i="1" s="1"/>
  <c r="J23" i="1" s="1"/>
  <c r="C24" i="1"/>
  <c r="I24" i="1" s="1"/>
  <c r="J24" i="1" s="1"/>
  <c r="C25" i="1"/>
  <c r="I25" i="1" s="1"/>
  <c r="J25" i="1" s="1"/>
  <c r="C26" i="1"/>
  <c r="I26" i="1" s="1"/>
  <c r="J26" i="1" s="1"/>
  <c r="C27" i="1"/>
  <c r="I27" i="1" s="1"/>
  <c r="J27" i="1" s="1"/>
  <c r="C28" i="1"/>
  <c r="I28" i="1" s="1"/>
  <c r="J28" i="1" s="1"/>
  <c r="C29" i="1"/>
  <c r="I29" i="1" s="1"/>
  <c r="J29" i="1" s="1"/>
  <c r="C30" i="1"/>
  <c r="I30" i="1" s="1"/>
  <c r="J30" i="1" s="1"/>
  <c r="C31" i="1"/>
  <c r="I31" i="1" s="1"/>
  <c r="J31" i="1" s="1"/>
  <c r="C32" i="1"/>
  <c r="I32" i="1" s="1"/>
  <c r="J32" i="1" s="1"/>
  <c r="C33" i="1"/>
  <c r="I33" i="1" s="1"/>
  <c r="J33" i="1" s="1"/>
  <c r="C34" i="1"/>
  <c r="I34" i="1" s="1"/>
  <c r="J34" i="1" s="1"/>
  <c r="C35" i="1"/>
  <c r="I35" i="1" s="1"/>
  <c r="J35" i="1" s="1"/>
  <c r="C36" i="1"/>
  <c r="I36" i="1" s="1"/>
  <c r="J36" i="1" s="1"/>
  <c r="C37" i="1"/>
  <c r="I37" i="1" s="1"/>
  <c r="J37" i="1" s="1"/>
  <c r="C38" i="1"/>
  <c r="I38" i="1" s="1"/>
  <c r="J38" i="1" s="1"/>
  <c r="C39" i="1"/>
  <c r="I39" i="1" s="1"/>
  <c r="J39" i="1" s="1"/>
  <c r="C40" i="1"/>
  <c r="I40" i="1" s="1"/>
  <c r="J40" i="1" s="1"/>
  <c r="C41" i="1"/>
  <c r="I41" i="1" s="1"/>
  <c r="J41" i="1" s="1"/>
  <c r="C42" i="1"/>
  <c r="I42" i="1" s="1"/>
  <c r="J42" i="1" s="1"/>
  <c r="C43" i="1"/>
  <c r="I43" i="1" s="1"/>
  <c r="J43" i="1" s="1"/>
  <c r="C44" i="1"/>
  <c r="I44" i="1" s="1"/>
  <c r="J44" i="1" s="1"/>
  <c r="C45" i="1"/>
  <c r="I45" i="1" s="1"/>
  <c r="J45" i="1" s="1"/>
  <c r="C46" i="1"/>
  <c r="I46" i="1" s="1"/>
  <c r="J46" i="1" s="1"/>
  <c r="C47" i="1"/>
  <c r="I47" i="1" s="1"/>
  <c r="J47" i="1" s="1"/>
  <c r="C48" i="1"/>
  <c r="I48" i="1" s="1"/>
  <c r="J48" i="1" s="1"/>
  <c r="C49" i="1"/>
  <c r="I49" i="1" s="1"/>
  <c r="J49" i="1" s="1"/>
  <c r="C50" i="1"/>
  <c r="I50" i="1" s="1"/>
  <c r="J50" i="1" s="1"/>
  <c r="C51" i="1"/>
  <c r="I51" i="1" s="1"/>
  <c r="J51" i="1" s="1"/>
  <c r="C52" i="1"/>
  <c r="I52" i="1" s="1"/>
  <c r="J52" i="1" s="1"/>
  <c r="C53" i="1"/>
  <c r="I53" i="1" s="1"/>
  <c r="J53" i="1" s="1"/>
  <c r="C54" i="1"/>
  <c r="I54" i="1" s="1"/>
  <c r="J54" i="1" s="1"/>
  <c r="C55" i="1"/>
  <c r="I55" i="1" s="1"/>
  <c r="J55" i="1" s="1"/>
  <c r="C56" i="1"/>
  <c r="I56" i="1" s="1"/>
  <c r="J56" i="1" s="1"/>
  <c r="C57" i="1"/>
  <c r="I57" i="1" s="1"/>
  <c r="J57" i="1" s="1"/>
  <c r="C58" i="1"/>
  <c r="I58" i="1" s="1"/>
  <c r="J58" i="1" s="1"/>
  <c r="C59" i="1"/>
  <c r="I59" i="1" s="1"/>
  <c r="J59" i="1" s="1"/>
  <c r="C60" i="1"/>
  <c r="I60" i="1" s="1"/>
  <c r="J60" i="1" s="1"/>
  <c r="C61" i="1"/>
  <c r="I61" i="1" s="1"/>
  <c r="J61" i="1" s="1"/>
  <c r="C62" i="1"/>
  <c r="I62" i="1" s="1"/>
  <c r="J62" i="1" s="1"/>
  <c r="C63" i="1"/>
  <c r="I63" i="1" s="1"/>
  <c r="J63" i="1" s="1"/>
  <c r="C64" i="1"/>
  <c r="I64" i="1" s="1"/>
  <c r="J64" i="1" s="1"/>
  <c r="C65" i="1"/>
  <c r="I65" i="1" s="1"/>
  <c r="J65" i="1" s="1"/>
  <c r="C66" i="1"/>
  <c r="I66" i="1" s="1"/>
  <c r="J66" i="1" s="1"/>
  <c r="C67" i="1"/>
  <c r="I67" i="1" s="1"/>
  <c r="J67" i="1" s="1"/>
  <c r="C68" i="1"/>
  <c r="I68" i="1" s="1"/>
  <c r="J68" i="1" s="1"/>
  <c r="C69" i="1"/>
  <c r="I69" i="1" s="1"/>
  <c r="J69" i="1" s="1"/>
  <c r="C70" i="1"/>
  <c r="I70" i="1" s="1"/>
  <c r="J70" i="1" s="1"/>
  <c r="C71" i="1"/>
  <c r="I71" i="1" s="1"/>
  <c r="J71" i="1" s="1"/>
  <c r="C72" i="1"/>
  <c r="I72" i="1" s="1"/>
  <c r="J72" i="1" s="1"/>
  <c r="C73" i="1"/>
  <c r="I73" i="1" s="1"/>
  <c r="J73" i="1" s="1"/>
  <c r="C74" i="1"/>
  <c r="I74" i="1" s="1"/>
  <c r="J74" i="1" s="1"/>
  <c r="C75" i="1"/>
  <c r="I75" i="1" s="1"/>
  <c r="J75" i="1" s="1"/>
  <c r="C76" i="1"/>
  <c r="I76" i="1" s="1"/>
  <c r="J76" i="1" s="1"/>
  <c r="C77" i="1"/>
  <c r="I77" i="1" s="1"/>
  <c r="J77" i="1" s="1"/>
  <c r="C78" i="1"/>
  <c r="I78" i="1" s="1"/>
  <c r="J78" i="1" s="1"/>
  <c r="C79" i="1"/>
  <c r="I79" i="1" s="1"/>
  <c r="J79" i="1" s="1"/>
  <c r="C80" i="1"/>
  <c r="I80" i="1" s="1"/>
  <c r="J80" i="1" s="1"/>
  <c r="C81" i="1"/>
  <c r="I81" i="1" s="1"/>
  <c r="J81" i="1" s="1"/>
  <c r="C82" i="1"/>
  <c r="C83" i="1"/>
  <c r="I83" i="1" s="1"/>
  <c r="J83" i="1" s="1"/>
  <c r="C84" i="1"/>
  <c r="I84" i="1" s="1"/>
  <c r="J84" i="1" s="1"/>
  <c r="C85" i="1"/>
  <c r="I85" i="1" s="1"/>
  <c r="J85" i="1" s="1"/>
  <c r="C86" i="1"/>
  <c r="I86" i="1" s="1"/>
  <c r="J86" i="1" s="1"/>
  <c r="C87" i="1"/>
  <c r="I87" i="1" s="1"/>
  <c r="J87" i="1" s="1"/>
  <c r="C88" i="1"/>
  <c r="I88" i="1" s="1"/>
  <c r="J88" i="1" s="1"/>
  <c r="C89" i="1"/>
  <c r="I89" i="1" s="1"/>
  <c r="J89" i="1" s="1"/>
  <c r="C90" i="1"/>
  <c r="I90" i="1" s="1"/>
  <c r="J90" i="1" s="1"/>
  <c r="C91" i="1"/>
  <c r="I91" i="1" s="1"/>
  <c r="J91" i="1" s="1"/>
  <c r="C92" i="1"/>
  <c r="I92" i="1" s="1"/>
  <c r="J92" i="1" s="1"/>
  <c r="C93" i="1"/>
  <c r="I93" i="1" s="1"/>
  <c r="J93" i="1" s="1"/>
  <c r="C95" i="1"/>
  <c r="I95" i="1" s="1"/>
  <c r="J95" i="1" s="1"/>
  <c r="C96" i="1"/>
  <c r="I96" i="1" s="1"/>
  <c r="J96" i="1" s="1"/>
  <c r="C97" i="1"/>
  <c r="I97" i="1" s="1"/>
  <c r="J97" i="1" s="1"/>
  <c r="C98" i="1"/>
  <c r="I98" i="1" s="1"/>
  <c r="J98" i="1" s="1"/>
  <c r="C99" i="1"/>
  <c r="I99" i="1" s="1"/>
  <c r="J99" i="1" s="1"/>
  <c r="C100" i="1"/>
  <c r="I100" i="1" s="1"/>
  <c r="J100" i="1" s="1"/>
  <c r="C101" i="1"/>
  <c r="I101" i="1" s="1"/>
  <c r="J101" i="1" s="1"/>
  <c r="C102" i="1"/>
  <c r="I102" i="1" s="1"/>
  <c r="J102" i="1" s="1"/>
  <c r="C103" i="1"/>
  <c r="I103" i="1" s="1"/>
  <c r="J103" i="1" s="1"/>
  <c r="C104" i="1"/>
  <c r="I104" i="1" s="1"/>
  <c r="J104" i="1" s="1"/>
  <c r="C105" i="1"/>
  <c r="I105" i="1" s="1"/>
  <c r="J105" i="1" s="1"/>
  <c r="C106" i="1"/>
  <c r="I106" i="1" s="1"/>
  <c r="J106" i="1" s="1"/>
  <c r="C107" i="1"/>
  <c r="I107" i="1" s="1"/>
  <c r="J107" i="1" s="1"/>
  <c r="C108" i="1"/>
  <c r="I108" i="1" s="1"/>
  <c r="J108" i="1" s="1"/>
  <c r="C109" i="1"/>
  <c r="I109" i="1" s="1"/>
  <c r="J109" i="1" s="1"/>
  <c r="C110" i="1"/>
  <c r="I110" i="1" s="1"/>
  <c r="J110" i="1" s="1"/>
  <c r="C111" i="1"/>
  <c r="I111" i="1" s="1"/>
  <c r="J111" i="1" s="1"/>
  <c r="C112" i="1"/>
  <c r="I112" i="1" s="1"/>
  <c r="J112" i="1" s="1"/>
  <c r="C113" i="1"/>
  <c r="I113" i="1" s="1"/>
  <c r="J113" i="1" s="1"/>
  <c r="C114" i="1"/>
  <c r="I114" i="1" s="1"/>
  <c r="J114" i="1" s="1"/>
  <c r="C115" i="1"/>
  <c r="I115" i="1" s="1"/>
  <c r="J115" i="1" s="1"/>
  <c r="C116" i="1"/>
  <c r="I116" i="1" s="1"/>
  <c r="J116" i="1" s="1"/>
  <c r="C117" i="1"/>
  <c r="I117" i="1" s="1"/>
  <c r="J117" i="1" s="1"/>
  <c r="C118" i="1"/>
  <c r="I118" i="1" s="1"/>
  <c r="J118" i="1" s="1"/>
  <c r="C119" i="1"/>
  <c r="I119" i="1" s="1"/>
  <c r="J119" i="1" s="1"/>
  <c r="C120" i="1"/>
  <c r="I120" i="1" s="1"/>
  <c r="J120" i="1" s="1"/>
  <c r="C121" i="1"/>
  <c r="I121" i="1" s="1"/>
  <c r="J121" i="1" s="1"/>
  <c r="C122" i="1"/>
  <c r="I122" i="1" s="1"/>
  <c r="J122" i="1" s="1"/>
  <c r="C123" i="1"/>
  <c r="I123" i="1" s="1"/>
  <c r="J123" i="1" s="1"/>
  <c r="C124" i="1"/>
  <c r="I124" i="1" s="1"/>
  <c r="J124" i="1" s="1"/>
  <c r="C125" i="1"/>
  <c r="I125" i="1" s="1"/>
  <c r="J125" i="1" s="1"/>
  <c r="C126" i="1"/>
  <c r="I126" i="1" s="1"/>
  <c r="J126" i="1" s="1"/>
  <c r="C127" i="1"/>
  <c r="I127" i="1" s="1"/>
  <c r="J127" i="1" s="1"/>
  <c r="C128" i="1"/>
  <c r="I128" i="1" s="1"/>
  <c r="J128" i="1" s="1"/>
  <c r="C129" i="1"/>
  <c r="I129" i="1" s="1"/>
  <c r="J129" i="1" s="1"/>
  <c r="C130" i="1"/>
  <c r="I130" i="1" s="1"/>
  <c r="J130" i="1" s="1"/>
  <c r="C131" i="1"/>
  <c r="I131" i="1" s="1"/>
  <c r="J131" i="1" s="1"/>
  <c r="C132" i="1"/>
  <c r="I132" i="1" s="1"/>
  <c r="J132" i="1" s="1"/>
  <c r="C133" i="1"/>
  <c r="I133" i="1" s="1"/>
  <c r="J133" i="1" s="1"/>
  <c r="C134" i="1"/>
  <c r="I134" i="1" s="1"/>
  <c r="J134" i="1" s="1"/>
  <c r="C135" i="1"/>
  <c r="I135" i="1" s="1"/>
  <c r="J135" i="1" s="1"/>
  <c r="C136" i="1"/>
  <c r="I136" i="1" s="1"/>
  <c r="J136" i="1" s="1"/>
  <c r="C137" i="1"/>
  <c r="I137" i="1" s="1"/>
  <c r="J137" i="1" s="1"/>
  <c r="C138" i="1"/>
  <c r="I138" i="1" s="1"/>
  <c r="J138" i="1" s="1"/>
  <c r="C139" i="1"/>
  <c r="I139" i="1" s="1"/>
  <c r="J139" i="1" s="1"/>
  <c r="C140" i="1"/>
  <c r="I140" i="1" s="1"/>
  <c r="J140" i="1" s="1"/>
  <c r="C141" i="1"/>
  <c r="I141" i="1" s="1"/>
  <c r="J141" i="1" s="1"/>
  <c r="C142" i="1"/>
  <c r="I142" i="1" s="1"/>
  <c r="J142" i="1" s="1"/>
  <c r="C143" i="1"/>
  <c r="I143" i="1" s="1"/>
  <c r="J143" i="1" s="1"/>
  <c r="C144" i="1"/>
  <c r="I144" i="1" s="1"/>
  <c r="J144" i="1" s="1"/>
  <c r="C145" i="1"/>
  <c r="I145" i="1" s="1"/>
  <c r="J145" i="1" s="1"/>
  <c r="C146" i="1"/>
  <c r="I146" i="1" s="1"/>
  <c r="J146" i="1" s="1"/>
  <c r="C147" i="1"/>
  <c r="I147" i="1" s="1"/>
  <c r="J147" i="1" s="1"/>
  <c r="C148" i="1"/>
  <c r="I148" i="1" s="1"/>
  <c r="J148" i="1" s="1"/>
  <c r="C149" i="1"/>
  <c r="I149" i="1" s="1"/>
  <c r="J149" i="1" s="1"/>
  <c r="C150" i="1"/>
  <c r="I150" i="1" s="1"/>
  <c r="J150" i="1" s="1"/>
  <c r="C151" i="1"/>
  <c r="I151" i="1" s="1"/>
  <c r="J151" i="1" s="1"/>
  <c r="C152" i="1"/>
  <c r="I152" i="1" s="1"/>
  <c r="J152" i="1" s="1"/>
  <c r="C153" i="1"/>
  <c r="I153" i="1" s="1"/>
  <c r="J153" i="1" s="1"/>
  <c r="C15" i="1"/>
  <c r="C16" i="1"/>
  <c r="C17" i="1"/>
  <c r="C18" i="1"/>
  <c r="C19" i="1"/>
  <c r="C20" i="1"/>
  <c r="C21" i="1"/>
  <c r="I21" i="1" s="1"/>
  <c r="A143" i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31" i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19" i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07" i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95" i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83" i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71" i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59" i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47" i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35" i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B11" i="1"/>
  <c r="B71" i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A11" i="1"/>
  <c r="J10" i="1" l="1"/>
  <c r="J21" i="1"/>
  <c r="I17" i="1"/>
  <c r="J17" i="1" s="1"/>
  <c r="I20" i="1"/>
  <c r="J20" i="1" s="1"/>
  <c r="I16" i="1"/>
  <c r="J16" i="1" s="1"/>
  <c r="I14" i="1"/>
  <c r="J14" i="1" s="1"/>
  <c r="I19" i="1"/>
  <c r="J19" i="1" s="1"/>
  <c r="I15" i="1"/>
  <c r="J15" i="1" s="1"/>
  <c r="I18" i="1"/>
  <c r="J18" i="1" s="1"/>
  <c r="J11" i="1"/>
  <c r="J12" i="1"/>
  <c r="J13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A12" i="1"/>
  <c r="A13" i="1" s="1"/>
  <c r="A14" i="1" s="1"/>
  <c r="A15" i="1" s="1"/>
  <c r="A16" i="1" s="1"/>
  <c r="A17" i="1" s="1"/>
  <c r="A18" i="1" s="1"/>
  <c r="A19" i="1" s="1"/>
  <c r="A20" i="1" s="1"/>
  <c r="A21" i="1" s="1"/>
  <c r="B83" i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I82" i="1"/>
  <c r="J82" i="1" s="1"/>
  <c r="J154" i="1" l="1"/>
  <c r="M4" i="1" s="1"/>
</calcChain>
</file>

<file path=xl/sharedStrings.xml><?xml version="1.0" encoding="utf-8"?>
<sst xmlns="http://schemas.openxmlformats.org/spreadsheetml/2006/main" count="51" uniqueCount="39">
  <si>
    <t>Mesa</t>
  </si>
  <si>
    <t>Menú de platos y bebidas</t>
  </si>
  <si>
    <t>Id</t>
  </si>
  <si>
    <t>Descripción</t>
  </si>
  <si>
    <t>Rubro</t>
  </si>
  <si>
    <t>Platos</t>
  </si>
  <si>
    <t>Bebidas</t>
  </si>
  <si>
    <t>Subtotal</t>
  </si>
  <si>
    <t>Precio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</si>
  <si>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</si>
  <si>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</si>
  <si>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</si>
  <si>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</si>
  <si>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</si>
  <si>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</si>
  <si>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</si>
  <si>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</si>
  <si>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</si>
  <si>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POLLO C/VERD.</t>
  </si>
  <si>
    <t>POLLO C/ENS.</t>
  </si>
  <si>
    <t>TARTA JyQ</t>
  </si>
  <si>
    <t>TARTA VERD.</t>
  </si>
  <si>
    <t>FIDEOS C/ROJA</t>
  </si>
  <si>
    <t>FIDEOS C/CREMA</t>
  </si>
  <si>
    <t>FIDEOS C/MIXTA</t>
  </si>
  <si>
    <t>COCA</t>
  </si>
  <si>
    <t>ZERO</t>
  </si>
  <si>
    <t>SPRITE</t>
  </si>
  <si>
    <t>AGUA</t>
  </si>
  <si>
    <t>Mozo</t>
  </si>
  <si>
    <t>Cantidad</t>
  </si>
  <si>
    <t>TOTAL MESA</t>
  </si>
  <si>
    <t>VUELTO:</t>
  </si>
  <si>
    <t>ZOOM</t>
  </si>
  <si>
    <t>SI</t>
  </si>
  <si>
    <t>NO</t>
  </si>
  <si>
    <t>PAGA CON:</t>
  </si>
  <si>
    <t xml:space="preserve">Plato  </t>
  </si>
  <si>
    <t xml:space="preserve">(10:20:32 a.m.)MESA 01 -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</si>
</sst>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 [$$-2C0A]\ * #,##0.00_ ;_ [$$-2C0A]\ * \-#,##0.00_ ;_ [$$-2C0A]\ * &quot;-&quot;??_ ;_ @_ "/>
    <numFmt numFmtId="166" formatCode="_([$Q-100A]* #,##0.00_);_([$Q-100A]* \(#,##0.00\);_([$Q-100A]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6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8"/>
      <color theme="0"/>
      <name val="Rod"/>
      <family val="3"/>
      <charset val="177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ECC8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Protection="1">
      <protection locked="0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165" fontId="1" fillId="0" borderId="9" xfId="0" applyNumberFormat="1" applyFont="1" applyBorder="1"/>
    <xf numFmtId="165" fontId="1" fillId="0" borderId="15" xfId="0" applyNumberFormat="1" applyFont="1" applyBorder="1"/>
    <xf numFmtId="0" fontId="7" fillId="0" borderId="3" xfId="0" applyFont="1" applyBorder="1" applyAlignment="1">
      <alignment horizontal="center"/>
    </xf>
    <xf numFmtId="165" fontId="1" fillId="0" borderId="10" xfId="0" applyNumberFormat="1" applyFont="1" applyBorder="1"/>
    <xf numFmtId="165" fontId="1" fillId="0" borderId="13" xfId="0" applyNumberFormat="1" applyFont="1" applyBorder="1"/>
    <xf numFmtId="0" fontId="7" fillId="0" borderId="4" xfId="0" applyFont="1" applyBorder="1" applyAlignment="1">
      <alignment horizontal="center"/>
    </xf>
    <xf numFmtId="0" fontId="1" fillId="0" borderId="11" xfId="0" applyFont="1" applyBorder="1" applyAlignment="1">
      <alignment horizontal="center" vertical="center"/>
    </xf>
    <xf numFmtId="165" fontId="1" fillId="0" borderId="11" xfId="0" applyNumberFormat="1" applyFont="1" applyBorder="1"/>
    <xf numFmtId="0" fontId="0" fillId="0" borderId="0" xfId="0" applyBorder="1" applyProtection="1">
      <protection locked="0"/>
    </xf>
    <xf numFmtId="0" fontId="1" fillId="0" borderId="9" xfId="0" applyFont="1" applyBorder="1" applyAlignment="1">
      <alignment horizontal="center" vertical="center"/>
    </xf>
    <xf numFmtId="165" fontId="1" fillId="0" borderId="12" xfId="0" applyNumberFormat="1" applyFont="1" applyBorder="1"/>
    <xf numFmtId="165" fontId="1" fillId="0" borderId="14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0" xfId="0" applyBorder="1"/>
    <xf numFmtId="0" fontId="1" fillId="0" borderId="2" xfId="0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 applyProtection="1">
      <alignment horizontal="right" wrapText="1"/>
      <protection locked="0"/>
    </xf>
    <xf numFmtId="165" fontId="3" fillId="0" borderId="0" xfId="0" applyNumberFormat="1" applyFont="1" applyFill="1" applyBorder="1" applyAlignment="1" applyProtection="1">
      <alignment horizontal="right" wrapText="1"/>
      <protection locked="0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5" xfId="0" applyFont="1" applyBorder="1" applyAlignment="1" applyProtection="1">
      <alignment horizontal="center"/>
      <protection locked="0"/>
    </xf>
    <xf numFmtId="0" fontId="1" fillId="0" borderId="26" xfId="0" applyFont="1" applyBorder="1" applyAlignment="1" applyProtection="1">
      <alignment horizontal="center"/>
      <protection locked="0"/>
    </xf>
    <xf numFmtId="165" fontId="1" fillId="0" borderId="27" xfId="0" applyNumberFormat="1" applyFont="1" applyBorder="1"/>
    <xf numFmtId="165" fontId="1" fillId="0" borderId="9" xfId="0" applyNumberFormat="1" applyFont="1" applyBorder="1" applyProtection="1">
      <protection locked="0"/>
    </xf>
    <xf numFmtId="165" fontId="1" fillId="0" borderId="13" xfId="0" applyNumberFormat="1" applyFont="1" applyBorder="1" applyProtection="1">
      <protection locked="0"/>
    </xf>
    <xf numFmtId="165" fontId="1" fillId="0" borderId="10" xfId="0" applyNumberFormat="1" applyFont="1" applyBorder="1" applyProtection="1">
      <protection locked="0"/>
    </xf>
    <xf numFmtId="165" fontId="1" fillId="0" borderId="28" xfId="0" applyNumberFormat="1" applyFont="1" applyBorder="1"/>
    <xf numFmtId="0" fontId="1" fillId="0" borderId="29" xfId="0" applyFont="1" applyBorder="1" applyAlignment="1">
      <alignment horizontal="center"/>
    </xf>
    <xf numFmtId="165" fontId="1" fillId="0" borderId="29" xfId="0" applyNumberFormat="1" applyFont="1" applyBorder="1"/>
    <xf numFmtId="0" fontId="1" fillId="0" borderId="29" xfId="0" applyFont="1" applyBorder="1" applyAlignment="1">
      <alignment horizontal="center" vertical="center"/>
    </xf>
    <xf numFmtId="165" fontId="1" fillId="0" borderId="11" xfId="0" applyNumberFormat="1" applyFont="1" applyBorder="1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49" fontId="4" fillId="5" borderId="33" xfId="0" applyNumberFormat="1" applyFont="1" applyFill="1" applyBorder="1" applyAlignment="1" applyProtection="1">
      <alignment horizontal="center"/>
      <protection locked="0"/>
    </xf>
    <xf numFmtId="49" fontId="4" fillId="5" borderId="34" xfId="0" applyNumberFormat="1" applyFont="1" applyFill="1" applyBorder="1" applyAlignment="1" applyProtection="1">
      <alignment horizontal="center"/>
      <protection locked="0"/>
    </xf>
    <xf numFmtId="49" fontId="4" fillId="5" borderId="35" xfId="0" applyNumberFormat="1" applyFont="1" applyFill="1" applyBorder="1" applyAlignment="1" applyProtection="1">
      <alignment horizontal="center"/>
      <protection locked="0"/>
    </xf>
    <xf numFmtId="0" fontId="3" fillId="5" borderId="36" xfId="0" applyFont="1" applyFill="1" applyBorder="1" applyAlignment="1" applyProtection="1">
      <alignment horizontal="right" wrapText="1"/>
      <protection locked="0"/>
    </xf>
    <xf numFmtId="0" fontId="1" fillId="5" borderId="37" xfId="0" applyFont="1" applyFill="1" applyBorder="1" applyAlignment="1" applyProtection="1">
      <alignment horizontal="right" wrapText="1"/>
      <protection locked="0"/>
    </xf>
    <xf numFmtId="0" fontId="3" fillId="5" borderId="37" xfId="0" applyFont="1" applyFill="1" applyBorder="1" applyAlignment="1" applyProtection="1">
      <alignment horizontal="right" wrapText="1"/>
      <protection locked="0"/>
    </xf>
    <xf numFmtId="0" fontId="3" fillId="5" borderId="38" xfId="0" applyFont="1" applyFill="1" applyBorder="1" applyAlignment="1" applyProtection="1">
      <alignment horizontal="right" wrapText="1"/>
      <protection locked="0"/>
    </xf>
    <xf numFmtId="22" fontId="3" fillId="5" borderId="37" xfId="0" applyNumberFormat="1" applyFont="1" applyFill="1" applyBorder="1" applyAlignment="1" applyProtection="1">
      <alignment horizontal="right" wrapText="1"/>
      <protection locked="0"/>
    </xf>
    <xf numFmtId="49" fontId="14" fillId="5" borderId="34" xfId="0" applyNumberFormat="1" applyFont="1" applyFill="1" applyBorder="1" applyAlignment="1" applyProtection="1">
      <alignment horizontal="center"/>
      <protection locked="0"/>
    </xf>
    <xf numFmtId="0" fontId="0" fillId="0" borderId="39" xfId="0" applyBorder="1" applyProtection="1">
      <protection locked="0"/>
    </xf>
    <xf numFmtId="165" fontId="5" fillId="8" borderId="30" xfId="0" applyNumberFormat="1" applyFont="1" applyFill="1" applyBorder="1" applyAlignment="1" applyProtection="1">
      <alignment horizontal="right"/>
      <protection locked="0"/>
    </xf>
    <xf numFmtId="165" fontId="5" fillId="8" borderId="31" xfId="0" applyNumberFormat="1" applyFont="1" applyFill="1" applyBorder="1" applyAlignment="1" applyProtection="1">
      <protection locked="0"/>
    </xf>
    <xf numFmtId="0" fontId="0" fillId="0" borderId="39" xfId="0" applyBorder="1"/>
    <xf numFmtId="165" fontId="0" fillId="0" borderId="39" xfId="0" applyNumberFormat="1" applyBorder="1"/>
    <xf numFmtId="0" fontId="13" fillId="9" borderId="42" xfId="0" applyFont="1" applyFill="1" applyBorder="1" applyAlignment="1">
      <alignment horizontal="center"/>
    </xf>
    <xf numFmtId="0" fontId="13" fillId="9" borderId="42" xfId="0" applyFont="1" applyFill="1" applyBorder="1"/>
    <xf numFmtId="0" fontId="17" fillId="9" borderId="1" xfId="0" applyFont="1" applyFill="1" applyBorder="1" applyAlignment="1" applyProtection="1">
      <alignment horizontal="center" vertical="center"/>
      <protection locked="0"/>
    </xf>
    <xf numFmtId="0" fontId="17" fillId="9" borderId="0" xfId="0" applyFont="1" applyFill="1" applyBorder="1" applyAlignment="1" applyProtection="1">
      <alignment horizontal="center" vertical="center"/>
      <protection locked="0"/>
    </xf>
    <xf numFmtId="0" fontId="3" fillId="2" borderId="40" xfId="0" applyFont="1" applyFill="1" applyBorder="1" applyAlignment="1" applyProtection="1">
      <alignment horizontal="center"/>
      <protection locked="0"/>
    </xf>
    <xf numFmtId="0" fontId="3" fillId="2" borderId="39" xfId="0" applyFont="1" applyFill="1" applyBorder="1" applyAlignment="1" applyProtection="1">
      <alignment horizontal="center"/>
      <protection locked="0"/>
    </xf>
    <xf numFmtId="0" fontId="3" fillId="2" borderId="39" xfId="0" applyFont="1" applyFill="1" applyBorder="1" applyAlignment="1" applyProtection="1">
      <protection locked="0"/>
    </xf>
    <xf numFmtId="165" fontId="5" fillId="2" borderId="41" xfId="0" applyNumberFormat="1" applyFont="1" applyFill="1" applyBorder="1" applyAlignment="1" applyProtection="1"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/>
      <protection locked="0"/>
    </xf>
    <xf numFmtId="166" fontId="0" fillId="0" borderId="0" xfId="0" applyNumberFormat="1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18" fontId="16" fillId="9" borderId="5" xfId="0" applyNumberFormat="1" applyFont="1" applyFill="1" applyBorder="1" applyAlignment="1" applyProtection="1">
      <alignment horizontal="center" vertical="center"/>
      <protection locked="0"/>
    </xf>
    <xf numFmtId="18" fontId="16" fillId="9" borderId="6" xfId="0" applyNumberFormat="1" applyFont="1" applyFill="1" applyBorder="1" applyAlignment="1" applyProtection="1">
      <alignment horizontal="center" vertical="center"/>
      <protection locked="0"/>
    </xf>
    <xf numFmtId="18" fontId="16" fillId="9" borderId="7" xfId="0" applyNumberFormat="1" applyFont="1" applyFill="1" applyBorder="1" applyAlignment="1" applyProtection="1">
      <alignment horizontal="center" vertical="center"/>
      <protection locked="0"/>
    </xf>
    <xf numFmtId="18" fontId="16" fillId="9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16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2" fillId="0" borderId="16" xfId="0" applyFont="1" applyBorder="1" applyAlignment="1" applyProtection="1">
      <alignment horizontal="center"/>
      <protection locked="0"/>
    </xf>
    <xf numFmtId="0" fontId="17" fillId="9" borderId="0" xfId="0" applyFont="1" applyFill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/>
      <protection locked="0"/>
    </xf>
    <xf numFmtId="0" fontId="2" fillId="0" borderId="43" xfId="0" applyFont="1" applyBorder="1" applyAlignment="1" applyProtection="1">
      <alignment horizontal="center"/>
      <protection locked="0"/>
    </xf>
    <xf numFmtId="0" fontId="15" fillId="3" borderId="5" xfId="0" applyFont="1" applyFill="1" applyBorder="1" applyAlignment="1" applyProtection="1">
      <alignment horizontal="center" vertical="center"/>
      <protection locked="0"/>
    </xf>
    <xf numFmtId="0" fontId="15" fillId="5" borderId="19" xfId="0" applyFont="1" applyFill="1" applyBorder="1" applyAlignment="1" applyProtection="1">
      <alignment horizontal="center" vertical="center"/>
      <protection locked="0"/>
    </xf>
    <xf numFmtId="0" fontId="6" fillId="9" borderId="7" xfId="0" applyFont="1" applyFill="1" applyBorder="1" applyAlignment="1" applyProtection="1">
      <alignment horizontal="center" vertical="center"/>
      <protection locked="0"/>
    </xf>
    <xf numFmtId="0" fontId="6" fillId="9" borderId="20" xfId="0" applyFont="1" applyFill="1" applyBorder="1" applyAlignment="1" applyProtection="1">
      <alignment horizontal="center" vertical="center"/>
      <protection locked="0"/>
    </xf>
    <xf numFmtId="166" fontId="9" fillId="7" borderId="6" xfId="1" applyNumberFormat="1" applyFont="1" applyFill="1" applyBorder="1" applyAlignment="1" applyProtection="1">
      <alignment horizontal="center" vertical="center"/>
      <protection locked="0"/>
    </xf>
    <xf numFmtId="166" fontId="9" fillId="7" borderId="8" xfId="1" applyNumberFormat="1" applyFont="1" applyFill="1" applyBorder="1" applyAlignment="1" applyProtection="1">
      <alignment horizontal="center" vertical="center"/>
      <protection locked="0"/>
    </xf>
    <xf numFmtId="49" fontId="9" fillId="7" borderId="5" xfId="1" applyNumberFormat="1" applyFont="1" applyFill="1" applyBorder="1" applyAlignment="1" applyProtection="1">
      <alignment horizontal="center" vertical="center"/>
      <protection locked="0"/>
    </xf>
    <xf numFmtId="49" fontId="9" fillId="7" borderId="7" xfId="1" applyNumberFormat="1" applyFont="1" applyFill="1" applyBorder="1" applyAlignment="1" applyProtection="1">
      <alignment horizontal="center" vertical="center"/>
      <protection locked="0"/>
    </xf>
    <xf numFmtId="165" fontId="2" fillId="0" borderId="17" xfId="0" applyNumberFormat="1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2" fillId="0" borderId="18" xfId="0" applyFont="1" applyBorder="1" applyAlignment="1" applyProtection="1">
      <alignment horizontal="center"/>
      <protection locked="0"/>
    </xf>
    <xf numFmtId="0" fontId="1" fillId="0" borderId="18" xfId="0" applyFont="1" applyBorder="1" applyAlignment="1" applyProtection="1">
      <alignment horizontal="center"/>
      <protection locked="0"/>
    </xf>
    <xf numFmtId="166" fontId="10" fillId="6" borderId="23" xfId="1" applyNumberFormat="1" applyFont="1" applyFill="1" applyBorder="1" applyAlignment="1" applyProtection="1">
      <alignment horizontal="center" vertical="center"/>
      <protection locked="0"/>
    </xf>
    <xf numFmtId="0" fontId="1" fillId="6" borderId="22" xfId="0" applyFont="1" applyFill="1" applyBorder="1" applyAlignment="1" applyProtection="1">
      <alignment horizontal="center" vertical="center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" fillId="0" borderId="39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</cellXfs>
  <cellStyles count="2">
    <cellStyle name="Moneda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1" defaultTableStyle="TableStyleMedium9" defaultPivotStyle="PivotStyleLight16">
    <tableStyle name="MySqlDefault" pivot="0" table="0" count="0"/>
  </tableStyles>
  <colors>
    <mruColors>
      <color rgb="FF339933"/>
      <color rgb="FF6ECC8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Plat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38160</xdr:colOff>
      <xdr:row>1</xdr:row>
      <xdr:rowOff>344876</xdr:rowOff>
    </xdr:from>
    <xdr:to>
      <xdr:col>2</xdr:col>
      <xdr:colOff>326160</xdr:colOff>
      <xdr:row>2</xdr:row>
      <xdr:rowOff>201556</xdr:rowOff>
    </xdr:to>
    <xdr:sp macro="[0]!Mesa1" textlink="">
      <xdr:nvSpPr>
        <xdr:cNvPr id="2" name="1 Conector"/>
        <xdr:cNvSpPr/>
      </xdr:nvSpPr>
      <xdr:spPr>
        <a:xfrm>
          <a:off x="2501481" y="1188348"/>
          <a:ext cx="288000" cy="288000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>
            <a:ln>
              <a:solidFill>
                <a:schemeClr val="accent1">
                  <a:shade val="95000"/>
                  <a:satMod val="105000"/>
                </a:schemeClr>
              </a:solidFill>
            </a:ln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28574</xdr:colOff>
      <xdr:row>1</xdr:row>
      <xdr:rowOff>345056</xdr:rowOff>
    </xdr:from>
    <xdr:to>
      <xdr:col>3</xdr:col>
      <xdr:colOff>316301</xdr:colOff>
      <xdr:row>2</xdr:row>
      <xdr:rowOff>200025</xdr:rowOff>
    </xdr:to>
    <xdr:sp macro="[0]!Mesa2" textlink="">
      <xdr:nvSpPr>
        <xdr:cNvPr id="14" name="13 Conector"/>
        <xdr:cNvSpPr/>
      </xdr:nvSpPr>
      <xdr:spPr>
        <a:xfrm>
          <a:off x="3661253" y="1188528"/>
          <a:ext cx="287727" cy="286289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4</xdr:col>
      <xdr:colOff>28575</xdr:colOff>
      <xdr:row>1</xdr:row>
      <xdr:rowOff>345056</xdr:rowOff>
    </xdr:from>
    <xdr:to>
      <xdr:col>4</xdr:col>
      <xdr:colOff>306717</xdr:colOff>
      <xdr:row>2</xdr:row>
      <xdr:rowOff>200025</xdr:rowOff>
    </xdr:to>
    <xdr:sp macro="[0]!Mesa3" textlink="">
      <xdr:nvSpPr>
        <xdr:cNvPr id="15" name="14 Conector"/>
        <xdr:cNvSpPr/>
      </xdr:nvSpPr>
      <xdr:spPr>
        <a:xfrm>
          <a:off x="4830613" y="1188528"/>
          <a:ext cx="278142" cy="286289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5</xdr:col>
      <xdr:colOff>28574</xdr:colOff>
      <xdr:row>1</xdr:row>
      <xdr:rowOff>354641</xdr:rowOff>
    </xdr:from>
    <xdr:to>
      <xdr:col>5</xdr:col>
      <xdr:colOff>325885</xdr:colOff>
      <xdr:row>2</xdr:row>
      <xdr:rowOff>200025</xdr:rowOff>
    </xdr:to>
    <xdr:sp macro="[0]!Mesa4" textlink="">
      <xdr:nvSpPr>
        <xdr:cNvPr id="16" name="15 Conector"/>
        <xdr:cNvSpPr/>
      </xdr:nvSpPr>
      <xdr:spPr>
        <a:xfrm>
          <a:off x="5999971" y="1198113"/>
          <a:ext cx="297311" cy="276704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6</xdr:col>
      <xdr:colOff>28574</xdr:colOff>
      <xdr:row>1</xdr:row>
      <xdr:rowOff>373811</xdr:rowOff>
    </xdr:from>
    <xdr:to>
      <xdr:col>6</xdr:col>
      <xdr:colOff>306717</xdr:colOff>
      <xdr:row>2</xdr:row>
      <xdr:rowOff>200025</xdr:rowOff>
    </xdr:to>
    <xdr:sp macro="[0]!Mesa5" textlink="">
      <xdr:nvSpPr>
        <xdr:cNvPr id="17" name="16 Conector"/>
        <xdr:cNvSpPr/>
      </xdr:nvSpPr>
      <xdr:spPr>
        <a:xfrm>
          <a:off x="7169328" y="1217283"/>
          <a:ext cx="278143" cy="257534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7</xdr:col>
      <xdr:colOff>28574</xdr:colOff>
      <xdr:row>1</xdr:row>
      <xdr:rowOff>373811</xdr:rowOff>
    </xdr:from>
    <xdr:to>
      <xdr:col>7</xdr:col>
      <xdr:colOff>297131</xdr:colOff>
      <xdr:row>2</xdr:row>
      <xdr:rowOff>200025</xdr:rowOff>
    </xdr:to>
    <xdr:sp macro="[0]!Mesa6" textlink="">
      <xdr:nvSpPr>
        <xdr:cNvPr id="18" name="17 Conector"/>
        <xdr:cNvSpPr/>
      </xdr:nvSpPr>
      <xdr:spPr>
        <a:xfrm>
          <a:off x="8338687" y="1217283"/>
          <a:ext cx="268557" cy="257534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7</xdr:col>
      <xdr:colOff>28574</xdr:colOff>
      <xdr:row>3</xdr:row>
      <xdr:rowOff>354642</xdr:rowOff>
    </xdr:from>
    <xdr:to>
      <xdr:col>7</xdr:col>
      <xdr:colOff>316301</xdr:colOff>
      <xdr:row>4</xdr:row>
      <xdr:rowOff>200025</xdr:rowOff>
    </xdr:to>
    <xdr:sp macro="[0]!Mesa12" textlink="">
      <xdr:nvSpPr>
        <xdr:cNvPr id="19" name="18 Conector"/>
        <xdr:cNvSpPr/>
      </xdr:nvSpPr>
      <xdr:spPr>
        <a:xfrm>
          <a:off x="8338687" y="1859472"/>
          <a:ext cx="287727" cy="276704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2</xdr:col>
      <xdr:colOff>28575</xdr:colOff>
      <xdr:row>3</xdr:row>
      <xdr:rowOff>335472</xdr:rowOff>
    </xdr:from>
    <xdr:to>
      <xdr:col>2</xdr:col>
      <xdr:colOff>335471</xdr:colOff>
      <xdr:row>4</xdr:row>
      <xdr:rowOff>200025</xdr:rowOff>
    </xdr:to>
    <xdr:sp macro="[0]!Mesa7" textlink="">
      <xdr:nvSpPr>
        <xdr:cNvPr id="20" name="19 Conector"/>
        <xdr:cNvSpPr/>
      </xdr:nvSpPr>
      <xdr:spPr>
        <a:xfrm>
          <a:off x="2491896" y="1840302"/>
          <a:ext cx="306896" cy="295874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3</xdr:col>
      <xdr:colOff>28574</xdr:colOff>
      <xdr:row>3</xdr:row>
      <xdr:rowOff>345057</xdr:rowOff>
    </xdr:from>
    <xdr:to>
      <xdr:col>3</xdr:col>
      <xdr:colOff>335471</xdr:colOff>
      <xdr:row>4</xdr:row>
      <xdr:rowOff>200025</xdr:rowOff>
    </xdr:to>
    <xdr:sp macro="[0]!Mesa8" textlink="">
      <xdr:nvSpPr>
        <xdr:cNvPr id="21" name="20 Conector"/>
        <xdr:cNvSpPr/>
      </xdr:nvSpPr>
      <xdr:spPr>
        <a:xfrm>
          <a:off x="3661253" y="1849887"/>
          <a:ext cx="306897" cy="286289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4</xdr:col>
      <xdr:colOff>28575</xdr:colOff>
      <xdr:row>3</xdr:row>
      <xdr:rowOff>345057</xdr:rowOff>
    </xdr:from>
    <xdr:to>
      <xdr:col>4</xdr:col>
      <xdr:colOff>325887</xdr:colOff>
      <xdr:row>4</xdr:row>
      <xdr:rowOff>200025</xdr:rowOff>
    </xdr:to>
    <xdr:sp macro="[0]!Mesa9" textlink="">
      <xdr:nvSpPr>
        <xdr:cNvPr id="22" name="21 Conector"/>
        <xdr:cNvSpPr/>
      </xdr:nvSpPr>
      <xdr:spPr>
        <a:xfrm>
          <a:off x="4830613" y="1849887"/>
          <a:ext cx="297312" cy="286289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5</xdr:col>
      <xdr:colOff>28575</xdr:colOff>
      <xdr:row>3</xdr:row>
      <xdr:rowOff>354642</xdr:rowOff>
    </xdr:from>
    <xdr:to>
      <xdr:col>5</xdr:col>
      <xdr:colOff>335471</xdr:colOff>
      <xdr:row>4</xdr:row>
      <xdr:rowOff>200025</xdr:rowOff>
    </xdr:to>
    <xdr:sp macro="[0]!Mesa10" textlink="">
      <xdr:nvSpPr>
        <xdr:cNvPr id="23" name="22 Conector"/>
        <xdr:cNvSpPr/>
      </xdr:nvSpPr>
      <xdr:spPr>
        <a:xfrm>
          <a:off x="5999972" y="1859472"/>
          <a:ext cx="306896" cy="276704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6</xdr:col>
      <xdr:colOff>28575</xdr:colOff>
      <xdr:row>3</xdr:row>
      <xdr:rowOff>354642</xdr:rowOff>
    </xdr:from>
    <xdr:to>
      <xdr:col>6</xdr:col>
      <xdr:colOff>316303</xdr:colOff>
      <xdr:row>4</xdr:row>
      <xdr:rowOff>200025</xdr:rowOff>
    </xdr:to>
    <xdr:sp macro="[0]!Mesa11" textlink="">
      <xdr:nvSpPr>
        <xdr:cNvPr id="24" name="23 Conector"/>
        <xdr:cNvSpPr/>
      </xdr:nvSpPr>
      <xdr:spPr>
        <a:xfrm>
          <a:off x="7169329" y="1859472"/>
          <a:ext cx="287728" cy="276704"/>
        </a:xfrm>
        <a:prstGeom prst="flowChartConnector">
          <a:avLst/>
        </a:prstGeom>
        <a:solidFill>
          <a:schemeClr val="tx1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8</xdr:col>
      <xdr:colOff>285749</xdr:colOff>
      <xdr:row>1</xdr:row>
      <xdr:rowOff>179549</xdr:rowOff>
    </xdr:from>
    <xdr:to>
      <xdr:col>9</xdr:col>
      <xdr:colOff>976312</xdr:colOff>
      <xdr:row>4</xdr:row>
      <xdr:rowOff>154781</xdr:rowOff>
    </xdr:to>
    <xdr:sp macro="" textlink="">
      <xdr:nvSpPr>
        <xdr:cNvPr id="25" name="24 Rectángulo">
          <a:hlinkClick xmlns:r="http://schemas.openxmlformats.org/officeDocument/2006/relationships" r:id="rId1"/>
        </xdr:cNvPr>
        <xdr:cNvSpPr/>
      </xdr:nvSpPr>
      <xdr:spPr>
        <a:xfrm>
          <a:off x="9417843" y="286705"/>
          <a:ext cx="1952625" cy="1094420"/>
        </a:xfrm>
        <a:prstGeom prst="rect">
          <a:avLst/>
        </a:prstGeom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AR" sz="1500" b="1" i="0" baseline="0">
              <a:cs typeface="Gautami" pitchFamily="2"/>
            </a:rPr>
            <a:t>Platos</a:t>
          </a:r>
        </a:p>
      </xdr:txBody>
    </xdr:sp>
    <xdr:clientData/>
  </xdr:twoCellAnchor>
  <xdr:twoCellAnchor>
    <xdr:from>
      <xdr:col>2</xdr:col>
      <xdr:colOff>790752</xdr:colOff>
      <xdr:row>1</xdr:row>
      <xdr:rowOff>162942</xdr:rowOff>
    </xdr:from>
    <xdr:to>
      <xdr:col>2</xdr:col>
      <xdr:colOff>905772</xdr:colOff>
      <xdr:row>1</xdr:row>
      <xdr:rowOff>257715</xdr:rowOff>
    </xdr:to>
    <xdr:sp macro="[0]!limpia1" textlink="">
      <xdr:nvSpPr>
        <xdr:cNvPr id="30" name="1 Conector"/>
        <xdr:cNvSpPr/>
      </xdr:nvSpPr>
      <xdr:spPr>
        <a:xfrm>
          <a:off x="2375856" y="626612"/>
          <a:ext cx="115020" cy="94773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endParaRPr lang="es-AR"/>
        </a:p>
      </xdr:txBody>
    </xdr:sp>
    <xdr:clientData/>
  </xdr:twoCellAnchor>
  <xdr:twoCellAnchor>
    <xdr:from>
      <xdr:col>3</xdr:col>
      <xdr:colOff>745468</xdr:colOff>
      <xdr:row>1</xdr:row>
      <xdr:rowOff>162943</xdr:rowOff>
    </xdr:from>
    <xdr:to>
      <xdr:col>3</xdr:col>
      <xdr:colOff>861445</xdr:colOff>
      <xdr:row>1</xdr:row>
      <xdr:rowOff>266341</xdr:rowOff>
    </xdr:to>
    <xdr:sp macro="[0]!limpia2" textlink="">
      <xdr:nvSpPr>
        <xdr:cNvPr id="32" name="1 Conector"/>
        <xdr:cNvSpPr/>
      </xdr:nvSpPr>
      <xdr:spPr>
        <a:xfrm>
          <a:off x="3613751" y="626613"/>
          <a:ext cx="115977" cy="103398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4</xdr:col>
      <xdr:colOff>742833</xdr:colOff>
      <xdr:row>1</xdr:row>
      <xdr:rowOff>172528</xdr:rowOff>
    </xdr:from>
    <xdr:to>
      <xdr:col>4</xdr:col>
      <xdr:colOff>867435</xdr:colOff>
      <xdr:row>1</xdr:row>
      <xdr:rowOff>267298</xdr:rowOff>
    </xdr:to>
    <xdr:sp macro="[0]!limpia3" textlink="">
      <xdr:nvSpPr>
        <xdr:cNvPr id="34" name="1 Conector"/>
        <xdr:cNvSpPr/>
      </xdr:nvSpPr>
      <xdr:spPr>
        <a:xfrm>
          <a:off x="4894296" y="636198"/>
          <a:ext cx="124602" cy="94770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5</xdr:col>
      <xdr:colOff>763201</xdr:colOff>
      <xdr:row>1</xdr:row>
      <xdr:rowOff>162943</xdr:rowOff>
    </xdr:from>
    <xdr:to>
      <xdr:col>5</xdr:col>
      <xdr:colOff>897388</xdr:colOff>
      <xdr:row>1</xdr:row>
      <xdr:rowOff>267297</xdr:rowOff>
    </xdr:to>
    <xdr:sp macro="[0]!limpia4" textlink="">
      <xdr:nvSpPr>
        <xdr:cNvPr id="36" name="1 Conector"/>
        <xdr:cNvSpPr/>
      </xdr:nvSpPr>
      <xdr:spPr>
        <a:xfrm>
          <a:off x="6197842" y="626613"/>
          <a:ext cx="134187" cy="104354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6</xdr:col>
      <xdr:colOff>765596</xdr:colOff>
      <xdr:row>1</xdr:row>
      <xdr:rowOff>194094</xdr:rowOff>
    </xdr:from>
    <xdr:to>
      <xdr:col>6</xdr:col>
      <xdr:colOff>884208</xdr:colOff>
      <xdr:row>1</xdr:row>
      <xdr:rowOff>296052</xdr:rowOff>
    </xdr:to>
    <xdr:sp macro="[0]!limpia5" textlink="">
      <xdr:nvSpPr>
        <xdr:cNvPr id="37" name="1 Conector"/>
        <xdr:cNvSpPr/>
      </xdr:nvSpPr>
      <xdr:spPr>
        <a:xfrm>
          <a:off x="7483417" y="657764"/>
          <a:ext cx="118612" cy="101958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7</xdr:col>
      <xdr:colOff>765596</xdr:colOff>
      <xdr:row>1</xdr:row>
      <xdr:rowOff>182112</xdr:rowOff>
    </xdr:from>
    <xdr:to>
      <xdr:col>7</xdr:col>
      <xdr:colOff>880615</xdr:colOff>
      <xdr:row>1</xdr:row>
      <xdr:rowOff>286467</xdr:rowOff>
    </xdr:to>
    <xdr:sp macro="[0]!limpia6" textlink="">
      <xdr:nvSpPr>
        <xdr:cNvPr id="38" name="1 Conector"/>
        <xdr:cNvSpPr/>
      </xdr:nvSpPr>
      <xdr:spPr>
        <a:xfrm>
          <a:off x="8766596" y="645782"/>
          <a:ext cx="115019" cy="104355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7</xdr:col>
      <xdr:colOff>813520</xdr:colOff>
      <xdr:row>3</xdr:row>
      <xdr:rowOff>172528</xdr:rowOff>
    </xdr:from>
    <xdr:to>
      <xdr:col>7</xdr:col>
      <xdr:colOff>937045</xdr:colOff>
      <xdr:row>3</xdr:row>
      <xdr:rowOff>296054</xdr:rowOff>
    </xdr:to>
    <xdr:sp macro="[0]!limpia12" textlink="">
      <xdr:nvSpPr>
        <xdr:cNvPr id="39" name="1 Conector"/>
        <xdr:cNvSpPr/>
      </xdr:nvSpPr>
      <xdr:spPr>
        <a:xfrm>
          <a:off x="8814520" y="1304746"/>
          <a:ext cx="123525" cy="123526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6</xdr:col>
      <xdr:colOff>802738</xdr:colOff>
      <xdr:row>3</xdr:row>
      <xdr:rowOff>172528</xdr:rowOff>
    </xdr:from>
    <xdr:to>
      <xdr:col>6</xdr:col>
      <xdr:colOff>927342</xdr:colOff>
      <xdr:row>3</xdr:row>
      <xdr:rowOff>296054</xdr:rowOff>
    </xdr:to>
    <xdr:sp macro="[0]!limpia11" textlink="">
      <xdr:nvSpPr>
        <xdr:cNvPr id="40" name="1 Conector"/>
        <xdr:cNvSpPr/>
      </xdr:nvSpPr>
      <xdr:spPr>
        <a:xfrm>
          <a:off x="7520559" y="1304746"/>
          <a:ext cx="124604" cy="123526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5</xdr:col>
      <xdr:colOff>823106</xdr:colOff>
      <xdr:row>3</xdr:row>
      <xdr:rowOff>172527</xdr:rowOff>
    </xdr:from>
    <xdr:to>
      <xdr:col>5</xdr:col>
      <xdr:colOff>947709</xdr:colOff>
      <xdr:row>3</xdr:row>
      <xdr:rowOff>286468</xdr:rowOff>
    </xdr:to>
    <xdr:sp macro="[0]!limpia10" textlink="">
      <xdr:nvSpPr>
        <xdr:cNvPr id="41" name="1 Conector"/>
        <xdr:cNvSpPr/>
      </xdr:nvSpPr>
      <xdr:spPr>
        <a:xfrm>
          <a:off x="6257747" y="1304745"/>
          <a:ext cx="124603" cy="113941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4</xdr:col>
      <xdr:colOff>776379</xdr:colOff>
      <xdr:row>3</xdr:row>
      <xdr:rowOff>201283</xdr:rowOff>
    </xdr:from>
    <xdr:to>
      <xdr:col>4</xdr:col>
      <xdr:colOff>872228</xdr:colOff>
      <xdr:row>3</xdr:row>
      <xdr:rowOff>305639</xdr:rowOff>
    </xdr:to>
    <xdr:sp macro="[0]!limpia9" textlink="">
      <xdr:nvSpPr>
        <xdr:cNvPr id="43" name="1 Conector"/>
        <xdr:cNvSpPr/>
      </xdr:nvSpPr>
      <xdr:spPr>
        <a:xfrm>
          <a:off x="4927842" y="1333501"/>
          <a:ext cx="95849" cy="104356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3</xdr:col>
      <xdr:colOff>775182</xdr:colOff>
      <xdr:row>3</xdr:row>
      <xdr:rowOff>182112</xdr:rowOff>
    </xdr:from>
    <xdr:to>
      <xdr:col>3</xdr:col>
      <xdr:colOff>890200</xdr:colOff>
      <xdr:row>3</xdr:row>
      <xdr:rowOff>296053</xdr:rowOff>
    </xdr:to>
    <xdr:sp macro="[0]!limpia8" textlink="">
      <xdr:nvSpPr>
        <xdr:cNvPr id="45" name="1 Conector"/>
        <xdr:cNvSpPr/>
      </xdr:nvSpPr>
      <xdr:spPr>
        <a:xfrm>
          <a:off x="3643465" y="1314330"/>
          <a:ext cx="115018" cy="113941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>
    <xdr:from>
      <xdr:col>2</xdr:col>
      <xdr:colOff>748823</xdr:colOff>
      <xdr:row>3</xdr:row>
      <xdr:rowOff>182113</xdr:rowOff>
    </xdr:from>
    <xdr:to>
      <xdr:col>2</xdr:col>
      <xdr:colOff>863841</xdr:colOff>
      <xdr:row>3</xdr:row>
      <xdr:rowOff>286469</xdr:rowOff>
    </xdr:to>
    <xdr:sp macro="[0]!limpia7" textlink="">
      <xdr:nvSpPr>
        <xdr:cNvPr id="46" name="1 Conector"/>
        <xdr:cNvSpPr/>
      </xdr:nvSpPr>
      <xdr:spPr>
        <a:xfrm>
          <a:off x="2333927" y="1314331"/>
          <a:ext cx="115018" cy="104356"/>
        </a:xfrm>
        <a:prstGeom prst="flowChartConnector">
          <a:avLst/>
        </a:prstGeom>
        <a:gradFill>
          <a:gsLst>
            <a:gs pos="0">
              <a:srgbClr val="FF0000"/>
            </a:gs>
            <a:gs pos="83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AR"/>
        </a:p>
      </xdr:txBody>
    </xdr:sp>
    <xdr:clientData/>
  </xdr:twoCellAnchor>
  <xdr:twoCellAnchor editAs="oneCell">
    <xdr:from>
      <xdr:col>0</xdr:col>
      <xdr:colOff>83344</xdr:colOff>
      <xdr:row>0</xdr:row>
      <xdr:rowOff>47625</xdr:rowOff>
    </xdr:from>
    <xdr:to>
      <xdr:col>1</xdr:col>
      <xdr:colOff>750094</xdr:colOff>
      <xdr:row>5</xdr:row>
      <xdr:rowOff>71437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4" y="47625"/>
          <a:ext cx="1488281" cy="14882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636377</xdr:colOff>
      <xdr:row>14</xdr:row>
      <xdr:rowOff>113401</xdr:rowOff>
    </xdr:from>
    <xdr:to>
      <xdr:col>2</xdr:col>
      <xdr:colOff>1431983</xdr:colOff>
      <xdr:row>17</xdr:row>
      <xdr:rowOff>161925</xdr:rowOff>
    </xdr:to>
    <xdr:sp macro="" textlink="">
      <xdr:nvSpPr>
        <xdr:cNvPr id="5" name="4 Elipse">
          <a:hlinkClick xmlns:r="http://schemas.openxmlformats.org/officeDocument/2006/relationships" r:id="rId1"/>
        </xdr:cNvPr>
        <xdr:cNvSpPr/>
      </xdr:nvSpPr>
      <xdr:spPr>
        <a:xfrm>
          <a:off x="2160377" y="2751826"/>
          <a:ext cx="795606" cy="620024"/>
        </a:xfrm>
        <a:prstGeom prst="ellipse">
          <a:avLst/>
        </a:prstGeom>
        <a:solidFill>
          <a:schemeClr val="tx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r>
            <a:rPr lang="es-AR">
              <a:solidFill>
                <a:schemeClr val="bg1"/>
              </a:solidFill>
            </a:rPr>
            <a:t>Volver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>
    <pageSetUpPr fitToPage="1"/>
  </sheetPr>
  <dimension ref="A1:XFA156"/>
  <sheetViews>
    <sheetView showGridLines="0" tabSelected="1" zoomScale="80" zoomScaleNormal="80" workbookViewId="0"/>
  </sheetViews>
  <sheetFormatPr baseColWidth="10" defaultColWidth="11.42578125" defaultRowHeight="15" x14ac:dyDescent="0.25"/>
  <cols>
    <col min="1" max="1" width="12.28515625" style="1" customWidth="1"/>
    <col min="2" max="2" width="12.42578125" style="1" customWidth="1"/>
    <col min="3" max="3" width="18.5703125" style="1" customWidth="1"/>
    <col min="4" max="7" width="18.7109375" style="1" customWidth="1"/>
    <col min="8" max="8" width="18.5703125" style="1" customWidth="1"/>
    <col min="9" max="9" width="19" style="1" customWidth="1"/>
    <col min="10" max="10" width="16.85546875" style="1" bestFit="1" customWidth="1"/>
    <col min="11" max="11" width="3.42578125" style="1" customWidth="1"/>
    <col min="12" max="12" width="16.42578125" style="1" bestFit="1" customWidth="1"/>
    <col min="13" max="13" width="24.85546875" style="1" customWidth="1"/>
    <col min="14" max="16384" width="11.42578125" style="1"/>
  </cols>
  <sheetData>
    <row r="1" spans="1:14 16381:16381" ht="8.85" customHeight="1" thickBot="1" x14ac:dyDescent="0.3"/>
    <row r="2" spans="1:14 16381:16381" ht="34.5" customHeight="1" x14ac:dyDescent="0.35">
      <c r="A2" s="12"/>
      <c r="C2" s="42" t="s">
        <v>9</v>
      </c>
      <c r="D2" s="50" t="s">
        <v>10</v>
      </c>
      <c r="E2" s="43" t="s">
        <v>11</v>
      </c>
      <c r="F2" s="43" t="s">
        <v>12</v>
      </c>
      <c r="G2" s="43" t="s">
        <v>13</v>
      </c>
      <c r="H2" s="44" t="s">
        <v>14</v>
      </c>
      <c r="L2" s="86" t="s">
        <v>36</v>
      </c>
      <c r="M2" s="84">
        <v>0</v>
      </c>
    </row>
    <row r="3" spans="1:14 16381:16381" ht="18.75" customHeight="1" thickBot="1" x14ac:dyDescent="0.3">
      <c r="A3" s="12"/>
      <c r="C3" s="45"/>
      <c r="D3" s="46"/>
      <c r="E3" s="47"/>
      <c r="F3" s="47"/>
      <c r="G3" s="47"/>
      <c r="H3" s="48"/>
      <c r="L3" s="87"/>
      <c r="M3" s="85"/>
      <c r="XFA3" s="1" t="s">
        <v>33</v>
      </c>
    </row>
    <row r="4" spans="1:14 16381:16381" ht="34.5" customHeight="1" x14ac:dyDescent="0.35">
      <c r="A4" s="12"/>
      <c r="C4" s="42" t="s">
        <v>15</v>
      </c>
      <c r="D4" s="43" t="s">
        <v>16</v>
      </c>
      <c r="E4" s="43" t="s">
        <v>17</v>
      </c>
      <c r="F4" s="43">
        <v>10</v>
      </c>
      <c r="G4" s="43">
        <v>11</v>
      </c>
      <c r="H4" s="44">
        <v>12</v>
      </c>
      <c r="L4" s="94" t="s">
        <v>32</v>
      </c>
      <c r="M4" s="93">
        <f>M2-J154</f>
        <v>0</v>
      </c>
      <c r="XFA4" s="41" t="s">
        <v>34</v>
      </c>
    </row>
    <row r="5" spans="1:14 16381:16381" ht="18.75" customHeight="1" thickBot="1" x14ac:dyDescent="0.3">
      <c r="A5" s="12"/>
      <c r="C5" s="45"/>
      <c r="D5" s="49"/>
      <c r="E5" s="47"/>
      <c r="F5" s="47"/>
      <c r="G5" s="47"/>
      <c r="H5" s="48"/>
      <c r="L5" s="94"/>
      <c r="M5" s="93"/>
      <c r="XFA5" s="41" t="s">
        <v>35</v>
      </c>
    </row>
    <row r="6" spans="1:14 16381:16381" ht="18.75" customHeight="1" thickBot="1" x14ac:dyDescent="0.3">
      <c r="A6" s="12"/>
      <c r="B6" s="24"/>
      <c r="C6" s="25"/>
      <c r="D6" s="26"/>
      <c r="E6" s="26"/>
      <c r="F6" s="26"/>
      <c r="G6" s="26"/>
      <c r="H6" s="26"/>
      <c r="L6" s="94"/>
      <c r="M6" s="93"/>
    </row>
    <row r="7" spans="1:14 16381:16381" ht="39.4" customHeight="1" x14ac:dyDescent="0.25">
      <c r="A7" s="70">
        <f ca="1">NOW()</f>
        <v>43276.433281944446</v>
      </c>
      <c r="B7" s="71"/>
      <c r="C7" s="80" t="s">
        <v>38</v>
      </c>
      <c r="D7" s="81"/>
      <c r="E7" s="81"/>
      <c r="F7" s="81"/>
      <c r="G7" s="81"/>
      <c r="H7" s="81"/>
      <c r="I7" s="81"/>
      <c r="J7" s="81"/>
      <c r="K7" s="51"/>
      <c r="L7" s="97"/>
      <c r="M7" s="95"/>
      <c r="N7" s="51"/>
      <c r="XFA7" s="41"/>
    </row>
    <row r="8" spans="1:14 16381:16381" ht="8.1" customHeight="1" thickBot="1" x14ac:dyDescent="0.3">
      <c r="A8" s="72"/>
      <c r="B8" s="73"/>
      <c r="C8" s="82"/>
      <c r="D8" s="83"/>
      <c r="E8" s="83"/>
      <c r="F8" s="83"/>
      <c r="G8" s="83"/>
      <c r="H8" s="83"/>
      <c r="I8" s="83"/>
      <c r="J8" s="83"/>
      <c r="K8" s="12"/>
      <c r="L8" s="98"/>
      <c r="M8" s="96"/>
      <c r="N8" s="12"/>
    </row>
    <row r="9" spans="1:14 16381:16381" ht="18.75" x14ac:dyDescent="0.25">
      <c r="A9" s="58" t="s">
        <v>0</v>
      </c>
      <c r="B9" s="58" t="s">
        <v>29</v>
      </c>
      <c r="C9" s="58" t="s">
        <v>2</v>
      </c>
      <c r="D9" s="77" t="s">
        <v>37</v>
      </c>
      <c r="E9" s="77"/>
      <c r="F9" s="77"/>
      <c r="G9" s="77"/>
      <c r="H9" s="58" t="s">
        <v>30</v>
      </c>
      <c r="I9" s="59" t="s">
        <v>8</v>
      </c>
      <c r="J9" s="58" t="s">
        <v>7</v>
      </c>
    </row>
    <row r="10" spans="1:14 16381:16381" ht="18" customHeight="1" x14ac:dyDescent="0.3">
      <c r="A10" s="19">
        <v>1</v>
      </c>
      <c r="B10" s="19">
        <v>1</v>
      </c>
      <c r="C10" s="64">
        <v>2</v>
      </c>
      <c r="D10" s="78"/>
      <c r="E10" s="78"/>
      <c r="F10" s="78"/>
      <c r="G10" s="78"/>
      <c r="H10" s="65"/>
      <c r="I10" s="33"/>
      <c r="J10" s="34">
        <f t="shared" ref="J10:J41" si="0">IF(ISERROR($H10*$I10),"",$H10*$I10)</f>
        <v>0</v>
      </c>
    </row>
    <row r="11" spans="1:14 16381:16381" ht="18" customHeight="1" x14ac:dyDescent="0.3">
      <c r="A11" s="20">
        <f>A10</f>
        <v>1</v>
      </c>
      <c r="B11" s="20">
        <f>B10</f>
        <v>1</v>
      </c>
      <c r="C11" s="21"/>
      <c r="D11" s="79"/>
      <c r="E11" s="79"/>
      <c r="F11" s="79"/>
      <c r="G11" s="79"/>
      <c r="H11" s="30"/>
      <c r="I11" s="35"/>
      <c r="J11" s="34">
        <f t="shared" si="0"/>
        <v>0</v>
      </c>
    </row>
    <row r="12" spans="1:14 16381:16381" ht="18" customHeight="1" x14ac:dyDescent="1.1000000000000001">
      <c r="A12" s="20">
        <f t="shared" ref="A12:A21" si="1">A11</f>
        <v>1</v>
      </c>
      <c r="B12" s="20">
        <f t="shared" ref="B12:B75" si="2">B11</f>
        <v>1</v>
      </c>
      <c r="C12" s="21" t="str">
        <f t="shared" ref="C12:C41" si="3">IF(ISERROR(MATCH(D12,Platos,0)),"",MATCH(D12,Platos,0))</f>
        <v/>
      </c>
      <c r="D12" s="74"/>
      <c r="E12" s="75"/>
      <c r="F12" s="75"/>
      <c r="G12" s="75"/>
      <c r="H12" s="30"/>
      <c r="I12" s="35" t="str">
        <f>IF(ISERROR(VLOOKUP($C12,Platos!$B$4:$D$15,3,FALSE)),"",VLOOKUP($C12,Platos!$B$4:$D$15,3,FALSE))</f>
        <v/>
      </c>
      <c r="J12" s="34" t="str">
        <f t="shared" si="0"/>
        <v/>
      </c>
    </row>
    <row r="13" spans="1:14 16381:16381" ht="17.649999999999999" customHeight="1" x14ac:dyDescent="1.1000000000000001">
      <c r="A13" s="20">
        <f t="shared" si="1"/>
        <v>1</v>
      </c>
      <c r="B13" s="20">
        <f t="shared" si="2"/>
        <v>1</v>
      </c>
      <c r="C13" s="21" t="str">
        <f t="shared" si="3"/>
        <v/>
      </c>
      <c r="D13" s="74"/>
      <c r="E13" s="75"/>
      <c r="F13" s="75"/>
      <c r="G13" s="75"/>
      <c r="H13" s="30"/>
      <c r="I13" s="35" t="str">
        <f>IF(ISERROR(VLOOKUP($C13,Platos!$B$4:$D$15,3,FALSE)),"",VLOOKUP($C13,Platos!$B$4:$D$15,3,FALSE))</f>
        <v/>
      </c>
      <c r="J13" s="34" t="str">
        <f t="shared" si="0"/>
        <v/>
      </c>
    </row>
    <row r="14" spans="1:14 16381:16381" ht="18" customHeight="1" x14ac:dyDescent="1.1000000000000001">
      <c r="A14" s="20">
        <f t="shared" si="1"/>
        <v>1</v>
      </c>
      <c r="B14" s="20">
        <f t="shared" si="2"/>
        <v>1</v>
      </c>
      <c r="C14" s="21" t="str">
        <f t="shared" si="3"/>
        <v/>
      </c>
      <c r="D14" s="74"/>
      <c r="E14" s="75"/>
      <c r="F14" s="75"/>
      <c r="G14" s="75"/>
      <c r="H14" s="30"/>
      <c r="I14" s="35" t="str">
        <f>IF(ISERROR(VLOOKUP($C14,Platos!$B$4:$D$15,3,FALSE)),"",VLOOKUP($C14,Platos!$B$4:$D$15,3,FALSE))</f>
        <v/>
      </c>
      <c r="J14" s="34" t="str">
        <f t="shared" si="0"/>
        <v/>
      </c>
    </row>
    <row r="15" spans="1:14 16381:16381" ht="18" customHeight="1" x14ac:dyDescent="1.1000000000000001">
      <c r="A15" s="20">
        <f t="shared" si="1"/>
        <v>1</v>
      </c>
      <c r="B15" s="20">
        <f t="shared" si="2"/>
        <v>1</v>
      </c>
      <c r="C15" s="21" t="str">
        <f t="shared" si="3"/>
        <v/>
      </c>
      <c r="D15" s="74"/>
      <c r="E15" s="75"/>
      <c r="F15" s="75"/>
      <c r="G15" s="75"/>
      <c r="H15" s="30"/>
      <c r="I15" s="35" t="str">
        <f>IF(ISERROR(VLOOKUP($C15,Platos!$B$4:$D$15,3,FALSE)),"",VLOOKUP($C15,Platos!$B$4:$D$15,3,FALSE))</f>
        <v/>
      </c>
      <c r="J15" s="34" t="str">
        <f t="shared" si="0"/>
        <v/>
      </c>
    </row>
    <row r="16" spans="1:14 16381:16381" ht="18" customHeight="1" x14ac:dyDescent="0.3">
      <c r="A16" s="20">
        <f t="shared" si="1"/>
        <v>1</v>
      </c>
      <c r="B16" s="20">
        <f t="shared" si="2"/>
        <v>1</v>
      </c>
      <c r="C16" s="21" t="str">
        <f t="shared" si="3"/>
        <v/>
      </c>
      <c r="D16" s="76"/>
      <c r="E16" s="76"/>
      <c r="F16" s="76"/>
      <c r="G16" s="76"/>
      <c r="H16" s="30"/>
      <c r="I16" s="35" t="str">
        <f>IF(ISERROR(VLOOKUP($C16,Platos!$B$4:$D$15,3,FALSE)),"",VLOOKUP($C16,Platos!$B$4:$D$15,3,FALSE))</f>
        <v/>
      </c>
      <c r="J16" s="34" t="str">
        <f t="shared" si="0"/>
        <v/>
      </c>
    </row>
    <row r="17" spans="1:10" ht="18" customHeight="1" x14ac:dyDescent="1.1000000000000001">
      <c r="A17" s="20">
        <f t="shared" si="1"/>
        <v>1</v>
      </c>
      <c r="B17" s="20">
        <f t="shared" si="2"/>
        <v>1</v>
      </c>
      <c r="C17" s="21" t="str">
        <f t="shared" si="3"/>
        <v/>
      </c>
      <c r="D17" s="74"/>
      <c r="E17" s="75"/>
      <c r="F17" s="75"/>
      <c r="G17" s="75"/>
      <c r="H17" s="30"/>
      <c r="I17" s="35" t="str">
        <f>IF(ISERROR(VLOOKUP($C17,Platos!$B$4:$D$15,3,FALSE)),"",VLOOKUP($C17,Platos!$B$4:$D$15,3,FALSE))</f>
        <v/>
      </c>
      <c r="J17" s="35" t="str">
        <f t="shared" si="0"/>
        <v/>
      </c>
    </row>
    <row r="18" spans="1:10" ht="18" customHeight="1" x14ac:dyDescent="1.1000000000000001">
      <c r="A18" s="20">
        <f t="shared" si="1"/>
        <v>1</v>
      </c>
      <c r="B18" s="20">
        <f t="shared" si="2"/>
        <v>1</v>
      </c>
      <c r="C18" s="21" t="str">
        <f t="shared" si="3"/>
        <v/>
      </c>
      <c r="D18" s="74"/>
      <c r="E18" s="75"/>
      <c r="F18" s="75"/>
      <c r="G18" s="75"/>
      <c r="H18" s="30"/>
      <c r="I18" s="35" t="str">
        <f>IF(ISERROR(VLOOKUP($C18,Platos!$B$4:$D$15,3,FALSE)),"",VLOOKUP($C18,Platos!$B$4:$D$15,3,FALSE))</f>
        <v/>
      </c>
      <c r="J18" s="35" t="str">
        <f t="shared" si="0"/>
        <v/>
      </c>
    </row>
    <row r="19" spans="1:10" ht="18" customHeight="1" x14ac:dyDescent="1.1000000000000001">
      <c r="A19" s="20">
        <f t="shared" si="1"/>
        <v>1</v>
      </c>
      <c r="B19" s="20">
        <f t="shared" si="2"/>
        <v>1</v>
      </c>
      <c r="C19" s="21" t="str">
        <f t="shared" si="3"/>
        <v/>
      </c>
      <c r="D19" s="74"/>
      <c r="E19" s="75"/>
      <c r="F19" s="75"/>
      <c r="G19" s="75"/>
      <c r="H19" s="30"/>
      <c r="I19" s="35" t="str">
        <f>IF(ISERROR(VLOOKUP($C19,Platos!$B$4:$D$15,3,FALSE)),"",VLOOKUP($C19,Platos!$B$4:$D$15,3,FALSE))</f>
        <v/>
      </c>
      <c r="J19" s="35" t="str">
        <f t="shared" si="0"/>
        <v/>
      </c>
    </row>
    <row r="20" spans="1:10" ht="18" customHeight="1" x14ac:dyDescent="1.1000000000000001">
      <c r="A20" s="20">
        <f t="shared" si="1"/>
        <v>1</v>
      </c>
      <c r="B20" s="20">
        <f t="shared" si="2"/>
        <v>1</v>
      </c>
      <c r="C20" s="21" t="str">
        <f t="shared" si="3"/>
        <v/>
      </c>
      <c r="D20" s="74"/>
      <c r="E20" s="75"/>
      <c r="F20" s="75"/>
      <c r="G20" s="75"/>
      <c r="H20" s="30"/>
      <c r="I20" s="35" t="str">
        <f>IF(ISERROR(VLOOKUP($C20,Platos!$B$4:$D$15,3,FALSE)),"",VLOOKUP($C20,Platos!$B$4:$D$15,3,FALSE))</f>
        <v/>
      </c>
      <c r="J20" s="35" t="str">
        <f t="shared" si="0"/>
        <v/>
      </c>
    </row>
    <row r="21" spans="1:10" ht="18" customHeight="1" thickBot="1" x14ac:dyDescent="1.1499999999999999">
      <c r="A21" s="22">
        <f t="shared" si="1"/>
        <v>1</v>
      </c>
      <c r="B21" s="22">
        <f t="shared" si="2"/>
        <v>1</v>
      </c>
      <c r="C21" s="23" t="str">
        <f t="shared" si="3"/>
        <v/>
      </c>
      <c r="D21" s="91"/>
      <c r="E21" s="92"/>
      <c r="F21" s="92"/>
      <c r="G21" s="92"/>
      <c r="H21" s="31"/>
      <c r="I21" s="35" t="str">
        <f>IF(ISERROR(VLOOKUP($C21,Platos!$B$4:$D$15,3,FALSE)),"",VLOOKUP($C21,Platos!$B$4:$D$15,3,FALSE))</f>
        <v/>
      </c>
      <c r="J21" s="40" t="str">
        <f t="shared" si="0"/>
        <v/>
      </c>
    </row>
    <row r="22" spans="1:10" customFormat="1" ht="18" hidden="1" customHeight="1" x14ac:dyDescent="0.35">
      <c r="A22" s="2">
        <v>2</v>
      </c>
      <c r="B22" s="2">
        <f t="shared" si="2"/>
        <v>1</v>
      </c>
      <c r="C22" s="3">
        <v>11</v>
      </c>
      <c r="D22" s="88" t="s">
        <v>28</v>
      </c>
      <c r="E22" s="88"/>
      <c r="F22" s="88"/>
      <c r="G22" s="88"/>
      <c r="H22" s="27">
        <v>5</v>
      </c>
      <c r="I22" s="32">
        <f>IF(ISERROR(VLOOKUP($C22,Platos!$B$4:$D$15,3,FALSE)),"",VLOOKUP($C22,Platos!$B$4:$D$15,3,FALSE))</f>
        <v>40</v>
      </c>
      <c r="J22" s="5">
        <f t="shared" si="0"/>
        <v>200</v>
      </c>
    </row>
    <row r="23" spans="1:10" customFormat="1" ht="18" hidden="1" customHeight="1" x14ac:dyDescent="0.55000000000000004">
      <c r="A23" s="6">
        <f>A22</f>
        <v>2</v>
      </c>
      <c r="B23" s="6">
        <f t="shared" si="2"/>
        <v>1</v>
      </c>
      <c r="C23" s="3" t="str">
        <f t="shared" si="3"/>
        <v/>
      </c>
      <c r="D23" s="89"/>
      <c r="E23" s="90"/>
      <c r="F23" s="90"/>
      <c r="G23" s="90"/>
      <c r="H23" s="28"/>
      <c r="I23" s="7" t="str">
        <f>IF(ISERROR(VLOOKUP($C23,Platos!$B$4:$D$15,3,FALSE)),"",VLOOKUP($C23,Platos!$B$4:$D$15,3,FALSE))</f>
        <v/>
      </c>
      <c r="J23" s="8" t="str">
        <f t="shared" si="0"/>
        <v/>
      </c>
    </row>
    <row r="24" spans="1:10" customFormat="1" ht="18" hidden="1" customHeight="1" x14ac:dyDescent="0.55000000000000004">
      <c r="A24" s="6">
        <f t="shared" ref="A24:A33" si="4">A23</f>
        <v>2</v>
      </c>
      <c r="B24" s="6">
        <f t="shared" si="2"/>
        <v>1</v>
      </c>
      <c r="C24" s="3" t="str">
        <f t="shared" si="3"/>
        <v/>
      </c>
      <c r="D24" s="89"/>
      <c r="E24" s="90"/>
      <c r="F24" s="90"/>
      <c r="G24" s="90"/>
      <c r="H24" s="28"/>
      <c r="I24" s="7" t="str">
        <f>IF(ISERROR(VLOOKUP($C24,Platos!$B$4:$D$15,3,FALSE)),"",VLOOKUP($C24,Platos!$B$4:$D$15,3,FALSE))</f>
        <v/>
      </c>
      <c r="J24" s="8" t="str">
        <f t="shared" si="0"/>
        <v/>
      </c>
    </row>
    <row r="25" spans="1:10" customFormat="1" ht="18" hidden="1" customHeight="1" x14ac:dyDescent="0.55000000000000004">
      <c r="A25" s="6">
        <f t="shared" si="4"/>
        <v>2</v>
      </c>
      <c r="B25" s="6">
        <f t="shared" si="2"/>
        <v>1</v>
      </c>
      <c r="C25" s="3" t="str">
        <f t="shared" si="3"/>
        <v/>
      </c>
      <c r="D25" s="89"/>
      <c r="E25" s="90"/>
      <c r="F25" s="90"/>
      <c r="G25" s="90"/>
      <c r="H25" s="28"/>
      <c r="I25" s="7" t="str">
        <f>IF(ISERROR(VLOOKUP($C25,Platos!$B$4:$D$15,3,FALSE)),"",VLOOKUP($C25,Platos!$B$4:$D$15,3,FALSE))</f>
        <v/>
      </c>
      <c r="J25" s="8" t="str">
        <f t="shared" si="0"/>
        <v/>
      </c>
    </row>
    <row r="26" spans="1:10" customFormat="1" ht="18" hidden="1" customHeight="1" x14ac:dyDescent="0.55000000000000004">
      <c r="A26" s="6">
        <f t="shared" si="4"/>
        <v>2</v>
      </c>
      <c r="B26" s="6">
        <f t="shared" si="2"/>
        <v>1</v>
      </c>
      <c r="C26" s="3" t="str">
        <f t="shared" si="3"/>
        <v/>
      </c>
      <c r="D26" s="89"/>
      <c r="E26" s="90"/>
      <c r="F26" s="90"/>
      <c r="G26" s="90"/>
      <c r="H26" s="28"/>
      <c r="I26" s="7" t="str">
        <f>IF(ISERROR(VLOOKUP($C26,Platos!$B$4:$D$15,3,FALSE)),"",VLOOKUP($C26,Platos!$B$4:$D$15,3,FALSE))</f>
        <v/>
      </c>
      <c r="J26" s="8" t="str">
        <f t="shared" si="0"/>
        <v/>
      </c>
    </row>
    <row r="27" spans="1:10" customFormat="1" ht="18" hidden="1" customHeight="1" x14ac:dyDescent="0.55000000000000004">
      <c r="A27" s="6">
        <f t="shared" si="4"/>
        <v>2</v>
      </c>
      <c r="B27" s="6">
        <f t="shared" si="2"/>
        <v>1</v>
      </c>
      <c r="C27" s="3" t="str">
        <f t="shared" si="3"/>
        <v/>
      </c>
      <c r="D27" s="89"/>
      <c r="E27" s="90"/>
      <c r="F27" s="90"/>
      <c r="G27" s="90"/>
      <c r="H27" s="28"/>
      <c r="I27" s="7" t="str">
        <f>IF(ISERROR(VLOOKUP($C27,Platos!$B$4:$D$15,3,FALSE)),"",VLOOKUP($C27,Platos!$B$4:$D$15,3,FALSE))</f>
        <v/>
      </c>
      <c r="J27" s="8" t="str">
        <f t="shared" si="0"/>
        <v/>
      </c>
    </row>
    <row r="28" spans="1:10" customFormat="1" ht="18" hidden="1" customHeight="1" x14ac:dyDescent="0.55000000000000004">
      <c r="A28" s="6">
        <f t="shared" si="4"/>
        <v>2</v>
      </c>
      <c r="B28" s="6">
        <f t="shared" si="2"/>
        <v>1</v>
      </c>
      <c r="C28" s="3" t="str">
        <f t="shared" si="3"/>
        <v/>
      </c>
      <c r="D28" s="89"/>
      <c r="E28" s="90"/>
      <c r="F28" s="90"/>
      <c r="G28" s="90"/>
      <c r="H28" s="28"/>
      <c r="I28" s="7" t="str">
        <f>IF(ISERROR(VLOOKUP($C28,Platos!$B$4:$D$15,3,FALSE)),"",VLOOKUP($C28,Platos!$B$4:$D$15,3,FALSE))</f>
        <v/>
      </c>
      <c r="J28" s="8" t="str">
        <f t="shared" si="0"/>
        <v/>
      </c>
    </row>
    <row r="29" spans="1:10" customFormat="1" ht="18" hidden="1" customHeight="1" x14ac:dyDescent="0.55000000000000004">
      <c r="A29" s="6">
        <f t="shared" si="4"/>
        <v>2</v>
      </c>
      <c r="B29" s="6">
        <f t="shared" si="2"/>
        <v>1</v>
      </c>
      <c r="C29" s="3" t="str">
        <f t="shared" si="3"/>
        <v/>
      </c>
      <c r="D29" s="89"/>
      <c r="E29" s="90"/>
      <c r="F29" s="90"/>
      <c r="G29" s="90"/>
      <c r="H29" s="28"/>
      <c r="I29" s="7" t="str">
        <f>IF(ISERROR(VLOOKUP($C29,Platos!$B$4:$D$15,3,FALSE)),"",VLOOKUP($C29,Platos!$B$4:$D$15,3,FALSE))</f>
        <v/>
      </c>
      <c r="J29" s="8" t="str">
        <f t="shared" si="0"/>
        <v/>
      </c>
    </row>
    <row r="30" spans="1:10" customFormat="1" ht="18" hidden="1" customHeight="1" x14ac:dyDescent="0.55000000000000004">
      <c r="A30" s="6">
        <f t="shared" si="4"/>
        <v>2</v>
      </c>
      <c r="B30" s="6">
        <f t="shared" si="2"/>
        <v>1</v>
      </c>
      <c r="C30" s="3" t="str">
        <f t="shared" si="3"/>
        <v/>
      </c>
      <c r="D30" s="89"/>
      <c r="E30" s="90"/>
      <c r="F30" s="90"/>
      <c r="G30" s="90"/>
      <c r="H30" s="28"/>
      <c r="I30" s="7" t="str">
        <f>IF(ISERROR(VLOOKUP($C30,Platos!$B$4:$D$15,3,FALSE)),"",VLOOKUP($C30,Platos!$B$4:$D$15,3,FALSE))</f>
        <v/>
      </c>
      <c r="J30" s="8" t="str">
        <f t="shared" si="0"/>
        <v/>
      </c>
    </row>
    <row r="31" spans="1:10" customFormat="1" ht="18" hidden="1" customHeight="1" x14ac:dyDescent="0.55000000000000004">
      <c r="A31" s="6">
        <f t="shared" si="4"/>
        <v>2</v>
      </c>
      <c r="B31" s="6">
        <f t="shared" si="2"/>
        <v>1</v>
      </c>
      <c r="C31" s="3" t="str">
        <f t="shared" si="3"/>
        <v/>
      </c>
      <c r="D31" s="89"/>
      <c r="E31" s="90"/>
      <c r="F31" s="90"/>
      <c r="G31" s="90"/>
      <c r="H31" s="28"/>
      <c r="I31" s="7" t="str">
        <f>IF(ISERROR(VLOOKUP($C31,Platos!$B$4:$D$15,3,FALSE)),"",VLOOKUP($C31,Platos!$B$4:$D$15,3,FALSE))</f>
        <v/>
      </c>
      <c r="J31" s="8" t="str">
        <f t="shared" si="0"/>
        <v/>
      </c>
    </row>
    <row r="32" spans="1:10" customFormat="1" ht="18" hidden="1" customHeight="1" x14ac:dyDescent="0.55000000000000004">
      <c r="A32" s="6">
        <f t="shared" si="4"/>
        <v>2</v>
      </c>
      <c r="B32" s="6">
        <f t="shared" si="2"/>
        <v>1</v>
      </c>
      <c r="C32" s="3" t="str">
        <f t="shared" si="3"/>
        <v/>
      </c>
      <c r="D32" s="89"/>
      <c r="E32" s="90"/>
      <c r="F32" s="90"/>
      <c r="G32" s="90"/>
      <c r="H32" s="28"/>
      <c r="I32" s="7" t="str">
        <f>IF(ISERROR(VLOOKUP($C32,Platos!$B$4:$D$15,3,FALSE)),"",VLOOKUP($C32,Platos!$B$4:$D$15,3,FALSE))</f>
        <v/>
      </c>
      <c r="J32" s="8" t="str">
        <f t="shared" si="0"/>
        <v/>
      </c>
    </row>
    <row r="33" spans="1:10" customFormat="1" ht="18" hidden="1" customHeight="1" thickBot="1" x14ac:dyDescent="0.55000000000000004">
      <c r="A33" s="9">
        <f t="shared" si="4"/>
        <v>2</v>
      </c>
      <c r="B33" s="9">
        <f t="shared" si="2"/>
        <v>1</v>
      </c>
      <c r="C33" s="10" t="str">
        <f t="shared" si="3"/>
        <v/>
      </c>
      <c r="D33" s="99"/>
      <c r="E33" s="100"/>
      <c r="F33" s="100"/>
      <c r="G33" s="100"/>
      <c r="H33" s="29"/>
      <c r="I33" s="11" t="str">
        <f>IF(ISERROR(VLOOKUP($C33,Platos!$B$4:$D$15,3,FALSE)),"",VLOOKUP($C33,Platos!$B$4:$D$15,3,FALSE))</f>
        <v/>
      </c>
      <c r="J33" s="11" t="str">
        <f t="shared" si="0"/>
        <v/>
      </c>
    </row>
    <row r="34" spans="1:10" customFormat="1" ht="18" hidden="1" customHeight="1" x14ac:dyDescent="0.3">
      <c r="A34" s="2">
        <v>3</v>
      </c>
      <c r="B34" s="2">
        <f t="shared" si="2"/>
        <v>1</v>
      </c>
      <c r="C34" s="13" t="str">
        <f t="shared" si="3"/>
        <v/>
      </c>
      <c r="D34" s="101"/>
      <c r="E34" s="101"/>
      <c r="F34" s="101"/>
      <c r="G34" s="101"/>
      <c r="H34" s="27"/>
      <c r="I34" s="4" t="str">
        <f>IF(ISERROR(VLOOKUP($C34,Platos!$B$4:$D$15,3,FALSE)),"",VLOOKUP($C34,Platos!$B$4:$D$15,3,FALSE))</f>
        <v/>
      </c>
      <c r="J34" s="5" t="str">
        <f t="shared" si="0"/>
        <v/>
      </c>
    </row>
    <row r="35" spans="1:10" customFormat="1" ht="18" hidden="1" customHeight="1" x14ac:dyDescent="0.3">
      <c r="A35" s="6">
        <f>A34</f>
        <v>3</v>
      </c>
      <c r="B35" s="6">
        <f t="shared" si="2"/>
        <v>1</v>
      </c>
      <c r="C35" s="3" t="str">
        <f t="shared" si="3"/>
        <v/>
      </c>
      <c r="D35" s="90"/>
      <c r="E35" s="90"/>
      <c r="F35" s="90"/>
      <c r="G35" s="90"/>
      <c r="H35" s="28"/>
      <c r="I35" s="7" t="str">
        <f>IF(ISERROR(VLOOKUP($C35,Platos!$B$4:$D$15,3,FALSE)),"",VLOOKUP($C35,Platos!$B$4:$D$15,3,FALSE))</f>
        <v/>
      </c>
      <c r="J35" s="8" t="str">
        <f t="shared" si="0"/>
        <v/>
      </c>
    </row>
    <row r="36" spans="1:10" customFormat="1" ht="18" hidden="1" customHeight="1" x14ac:dyDescent="0.3">
      <c r="A36" s="6">
        <f t="shared" ref="A36:A45" si="5">A35</f>
        <v>3</v>
      </c>
      <c r="B36" s="6">
        <f t="shared" si="2"/>
        <v>1</v>
      </c>
      <c r="C36" s="3" t="str">
        <f t="shared" si="3"/>
        <v/>
      </c>
      <c r="D36" s="90"/>
      <c r="E36" s="90"/>
      <c r="F36" s="90"/>
      <c r="G36" s="90"/>
      <c r="H36" s="28"/>
      <c r="I36" s="7" t="str">
        <f>IF(ISERROR(VLOOKUP($C36,Platos!$B$4:$D$15,3,FALSE)),"",VLOOKUP($C36,Platos!$B$4:$D$15,3,FALSE))</f>
        <v/>
      </c>
      <c r="J36" s="8" t="str">
        <f t="shared" si="0"/>
        <v/>
      </c>
    </row>
    <row r="37" spans="1:10" customFormat="1" ht="18" hidden="1" customHeight="1" x14ac:dyDescent="0.3">
      <c r="A37" s="6">
        <f t="shared" si="5"/>
        <v>3</v>
      </c>
      <c r="B37" s="6">
        <f t="shared" si="2"/>
        <v>1</v>
      </c>
      <c r="C37" s="3" t="str">
        <f t="shared" si="3"/>
        <v/>
      </c>
      <c r="D37" s="90"/>
      <c r="E37" s="90"/>
      <c r="F37" s="90"/>
      <c r="G37" s="90"/>
      <c r="H37" s="28"/>
      <c r="I37" s="7" t="str">
        <f>IF(ISERROR(VLOOKUP($C37,Platos!$B$4:$D$15,3,FALSE)),"",VLOOKUP($C37,Platos!$B$4:$D$15,3,FALSE))</f>
        <v/>
      </c>
      <c r="J37" s="8" t="str">
        <f t="shared" si="0"/>
        <v/>
      </c>
    </row>
    <row r="38" spans="1:10" customFormat="1" ht="18" hidden="1" customHeight="1" x14ac:dyDescent="0.3">
      <c r="A38" s="6">
        <f t="shared" si="5"/>
        <v>3</v>
      </c>
      <c r="B38" s="6">
        <f t="shared" si="2"/>
        <v>1</v>
      </c>
      <c r="C38" s="3" t="str">
        <f t="shared" si="3"/>
        <v/>
      </c>
      <c r="D38" s="90"/>
      <c r="E38" s="90"/>
      <c r="F38" s="90"/>
      <c r="G38" s="90"/>
      <c r="H38" s="28"/>
      <c r="I38" s="7" t="str">
        <f>IF(ISERROR(VLOOKUP($C38,Platos!$B$4:$D$15,3,FALSE)),"",VLOOKUP($C38,Platos!$B$4:$D$15,3,FALSE))</f>
        <v/>
      </c>
      <c r="J38" s="8" t="str">
        <f t="shared" si="0"/>
        <v/>
      </c>
    </row>
    <row r="39" spans="1:10" customFormat="1" ht="18" hidden="1" customHeight="1" x14ac:dyDescent="0.3">
      <c r="A39" s="6">
        <f t="shared" si="5"/>
        <v>3</v>
      </c>
      <c r="B39" s="6">
        <f t="shared" si="2"/>
        <v>1</v>
      </c>
      <c r="C39" s="3" t="str">
        <f t="shared" si="3"/>
        <v/>
      </c>
      <c r="D39" s="90"/>
      <c r="E39" s="90"/>
      <c r="F39" s="90"/>
      <c r="G39" s="90"/>
      <c r="H39" s="28"/>
      <c r="I39" s="7" t="str">
        <f>IF(ISERROR(VLOOKUP($C39,Platos!$B$4:$D$15,3,FALSE)),"",VLOOKUP($C39,Platos!$B$4:$D$15,3,FALSE))</f>
        <v/>
      </c>
      <c r="J39" s="8" t="str">
        <f t="shared" si="0"/>
        <v/>
      </c>
    </row>
    <row r="40" spans="1:10" customFormat="1" ht="18" hidden="1" customHeight="1" x14ac:dyDescent="0.3">
      <c r="A40" s="6">
        <f t="shared" si="5"/>
        <v>3</v>
      </c>
      <c r="B40" s="6">
        <f t="shared" si="2"/>
        <v>1</v>
      </c>
      <c r="C40" s="3" t="str">
        <f t="shared" si="3"/>
        <v/>
      </c>
      <c r="D40" s="90"/>
      <c r="E40" s="90"/>
      <c r="F40" s="90"/>
      <c r="G40" s="90"/>
      <c r="H40" s="28"/>
      <c r="I40" s="7" t="str">
        <f>IF(ISERROR(VLOOKUP($C40,Platos!$B$4:$D$15,3,FALSE)),"",VLOOKUP($C40,Platos!$B$4:$D$15,3,FALSE))</f>
        <v/>
      </c>
      <c r="J40" s="8" t="str">
        <f t="shared" si="0"/>
        <v/>
      </c>
    </row>
    <row r="41" spans="1:10" customFormat="1" ht="18" hidden="1" customHeight="1" x14ac:dyDescent="0.3">
      <c r="A41" s="6">
        <f t="shared" si="5"/>
        <v>3</v>
      </c>
      <c r="B41" s="6">
        <f t="shared" si="2"/>
        <v>1</v>
      </c>
      <c r="C41" s="3" t="str">
        <f t="shared" si="3"/>
        <v/>
      </c>
      <c r="D41" s="90"/>
      <c r="E41" s="90"/>
      <c r="F41" s="90"/>
      <c r="G41" s="90"/>
      <c r="H41" s="28"/>
      <c r="I41" s="7" t="str">
        <f>IF(ISERROR(VLOOKUP($C41,Platos!$B$4:$D$15,3,FALSE)),"",VLOOKUP($C41,Platos!$B$4:$D$15,3,FALSE))</f>
        <v/>
      </c>
      <c r="J41" s="8" t="str">
        <f t="shared" si="0"/>
        <v/>
      </c>
    </row>
    <row r="42" spans="1:10" customFormat="1" ht="18" hidden="1" customHeight="1" x14ac:dyDescent="0.3">
      <c r="A42" s="6">
        <f t="shared" si="5"/>
        <v>3</v>
      </c>
      <c r="B42" s="6">
        <f t="shared" si="2"/>
        <v>1</v>
      </c>
      <c r="C42" s="3" t="str">
        <f t="shared" ref="C42:C73" si="6">IF(ISERROR(MATCH(D42,Platos,0)),"",MATCH(D42,Platos,0))</f>
        <v/>
      </c>
      <c r="D42" s="90"/>
      <c r="E42" s="90"/>
      <c r="F42" s="90"/>
      <c r="G42" s="90"/>
      <c r="H42" s="28"/>
      <c r="I42" s="7" t="str">
        <f>IF(ISERROR(VLOOKUP($C42,Platos!$B$4:$D$15,3,FALSE)),"",VLOOKUP($C42,Platos!$B$4:$D$15,3,FALSE))</f>
        <v/>
      </c>
      <c r="J42" s="8" t="str">
        <f t="shared" ref="J42:J73" si="7">IF(ISERROR($H42*$I42),"",$H42*$I42)</f>
        <v/>
      </c>
    </row>
    <row r="43" spans="1:10" customFormat="1" ht="18" hidden="1" customHeight="1" x14ac:dyDescent="0.3">
      <c r="A43" s="6">
        <f t="shared" si="5"/>
        <v>3</v>
      </c>
      <c r="B43" s="6">
        <f t="shared" si="2"/>
        <v>1</v>
      </c>
      <c r="C43" s="3" t="str">
        <f t="shared" si="6"/>
        <v/>
      </c>
      <c r="D43" s="90"/>
      <c r="E43" s="90"/>
      <c r="F43" s="90"/>
      <c r="G43" s="90"/>
      <c r="H43" s="28"/>
      <c r="I43" s="7" t="str">
        <f>IF(ISERROR(VLOOKUP($C43,Platos!$B$4:$D$15,3,FALSE)),"",VLOOKUP($C43,Platos!$B$4:$D$15,3,FALSE))</f>
        <v/>
      </c>
      <c r="J43" s="8" t="str">
        <f t="shared" si="7"/>
        <v/>
      </c>
    </row>
    <row r="44" spans="1:10" customFormat="1" ht="18" hidden="1" customHeight="1" x14ac:dyDescent="0.3">
      <c r="A44" s="6">
        <f t="shared" si="5"/>
        <v>3</v>
      </c>
      <c r="B44" s="6">
        <f t="shared" si="2"/>
        <v>1</v>
      </c>
      <c r="C44" s="3" t="str">
        <f t="shared" si="6"/>
        <v/>
      </c>
      <c r="D44" s="90"/>
      <c r="E44" s="90"/>
      <c r="F44" s="90"/>
      <c r="G44" s="90"/>
      <c r="H44" s="28"/>
      <c r="I44" s="7" t="str">
        <f>IF(ISERROR(VLOOKUP($C44,Platos!$B$4:$D$15,3,FALSE)),"",VLOOKUP($C44,Platos!$B$4:$D$15,3,FALSE))</f>
        <v/>
      </c>
      <c r="J44" s="8" t="str">
        <f t="shared" si="7"/>
        <v/>
      </c>
    </row>
    <row r="45" spans="1:10" customFormat="1" ht="18" hidden="1" customHeight="1" thickBot="1" x14ac:dyDescent="0.3">
      <c r="A45" s="9">
        <f t="shared" si="5"/>
        <v>3</v>
      </c>
      <c r="B45" s="9">
        <f t="shared" si="2"/>
        <v>1</v>
      </c>
      <c r="C45" s="10" t="str">
        <f t="shared" si="6"/>
        <v/>
      </c>
      <c r="D45" s="100"/>
      <c r="E45" s="100"/>
      <c r="F45" s="100"/>
      <c r="G45" s="100"/>
      <c r="H45" s="29"/>
      <c r="I45" s="11" t="str">
        <f>IF(ISERROR(VLOOKUP($C45,Platos!$B$4:$D$15,3,FALSE)),"",VLOOKUP($C45,Platos!$B$4:$D$15,3,FALSE))</f>
        <v/>
      </c>
      <c r="J45" s="15" t="str">
        <f t="shared" si="7"/>
        <v/>
      </c>
    </row>
    <row r="46" spans="1:10" customFormat="1" ht="18" hidden="1" customHeight="1" x14ac:dyDescent="0.3">
      <c r="A46" s="2">
        <v>4</v>
      </c>
      <c r="B46" s="2">
        <f t="shared" si="2"/>
        <v>1</v>
      </c>
      <c r="C46" s="13" t="str">
        <f t="shared" si="6"/>
        <v/>
      </c>
      <c r="D46" s="101"/>
      <c r="E46" s="101"/>
      <c r="F46" s="101"/>
      <c r="G46" s="101"/>
      <c r="H46" s="27"/>
      <c r="I46" s="4" t="str">
        <f>IF(ISERROR(VLOOKUP($C46,Platos!$B$4:$D$15,3,FALSE)),"",VLOOKUP($C46,Platos!$B$4:$D$15,3,FALSE))</f>
        <v/>
      </c>
      <c r="J46" s="14" t="str">
        <f t="shared" si="7"/>
        <v/>
      </c>
    </row>
    <row r="47" spans="1:10" customFormat="1" ht="18" hidden="1" customHeight="1" x14ac:dyDescent="0.3">
      <c r="A47" s="6">
        <f>A46</f>
        <v>4</v>
      </c>
      <c r="B47" s="6">
        <f t="shared" si="2"/>
        <v>1</v>
      </c>
      <c r="C47" s="3" t="str">
        <f t="shared" si="6"/>
        <v/>
      </c>
      <c r="D47" s="90"/>
      <c r="E47" s="90"/>
      <c r="F47" s="90"/>
      <c r="G47" s="90"/>
      <c r="H47" s="28"/>
      <c r="I47" s="7" t="str">
        <f>IF(ISERROR(VLOOKUP($C47,Platos!$B$4:$D$15,3,FALSE)),"",VLOOKUP($C47,Platos!$B$4:$D$15,3,FALSE))</f>
        <v/>
      </c>
      <c r="J47" s="8" t="str">
        <f t="shared" si="7"/>
        <v/>
      </c>
    </row>
    <row r="48" spans="1:10" customFormat="1" ht="18" hidden="1" customHeight="1" x14ac:dyDescent="0.3">
      <c r="A48" s="6">
        <f t="shared" ref="A48:A57" si="8">A47</f>
        <v>4</v>
      </c>
      <c r="B48" s="6">
        <f t="shared" si="2"/>
        <v>1</v>
      </c>
      <c r="C48" s="3" t="str">
        <f t="shared" si="6"/>
        <v/>
      </c>
      <c r="D48" s="90"/>
      <c r="E48" s="90"/>
      <c r="F48" s="90"/>
      <c r="G48" s="90"/>
      <c r="H48" s="28"/>
      <c r="I48" s="7" t="str">
        <f>IF(ISERROR(VLOOKUP($C48,Platos!$B$4:$D$15,3,FALSE)),"",VLOOKUP($C48,Platos!$B$4:$D$15,3,FALSE))</f>
        <v/>
      </c>
      <c r="J48" s="8" t="str">
        <f t="shared" si="7"/>
        <v/>
      </c>
    </row>
    <row r="49" spans="1:10" customFormat="1" ht="18" hidden="1" customHeight="1" x14ac:dyDescent="0.3">
      <c r="A49" s="6">
        <f t="shared" si="8"/>
        <v>4</v>
      </c>
      <c r="B49" s="6">
        <f t="shared" si="2"/>
        <v>1</v>
      </c>
      <c r="C49" s="3" t="str">
        <f t="shared" si="6"/>
        <v/>
      </c>
      <c r="D49" s="90"/>
      <c r="E49" s="90"/>
      <c r="F49" s="90"/>
      <c r="G49" s="90"/>
      <c r="H49" s="28"/>
      <c r="I49" s="7" t="str">
        <f>IF(ISERROR(VLOOKUP($C49,Platos!$B$4:$D$15,3,FALSE)),"",VLOOKUP($C49,Platos!$B$4:$D$15,3,FALSE))</f>
        <v/>
      </c>
      <c r="J49" s="8" t="str">
        <f t="shared" si="7"/>
        <v/>
      </c>
    </row>
    <row r="50" spans="1:10" customFormat="1" ht="18" hidden="1" customHeight="1" x14ac:dyDescent="0.3">
      <c r="A50" s="6">
        <f t="shared" si="8"/>
        <v>4</v>
      </c>
      <c r="B50" s="6">
        <f t="shared" si="2"/>
        <v>1</v>
      </c>
      <c r="C50" s="3" t="str">
        <f t="shared" si="6"/>
        <v/>
      </c>
      <c r="D50" s="90"/>
      <c r="E50" s="90"/>
      <c r="F50" s="90"/>
      <c r="G50" s="90"/>
      <c r="H50" s="28"/>
      <c r="I50" s="7" t="str">
        <f>IF(ISERROR(VLOOKUP($C50,Platos!$B$4:$D$15,3,FALSE)),"",VLOOKUP($C50,Platos!$B$4:$D$15,3,FALSE))</f>
        <v/>
      </c>
      <c r="J50" s="8" t="str">
        <f t="shared" si="7"/>
        <v/>
      </c>
    </row>
    <row r="51" spans="1:10" customFormat="1" ht="18" hidden="1" customHeight="1" x14ac:dyDescent="0.3">
      <c r="A51" s="6">
        <f t="shared" si="8"/>
        <v>4</v>
      </c>
      <c r="B51" s="6">
        <f t="shared" si="2"/>
        <v>1</v>
      </c>
      <c r="C51" s="3" t="str">
        <f t="shared" si="6"/>
        <v/>
      </c>
      <c r="D51" s="90"/>
      <c r="E51" s="90"/>
      <c r="F51" s="90"/>
      <c r="G51" s="90"/>
      <c r="H51" s="28"/>
      <c r="I51" s="7" t="str">
        <f>IF(ISERROR(VLOOKUP($C51,Platos!$B$4:$D$15,3,FALSE)),"",VLOOKUP($C51,Platos!$B$4:$D$15,3,FALSE))</f>
        <v/>
      </c>
      <c r="J51" s="8" t="str">
        <f t="shared" si="7"/>
        <v/>
      </c>
    </row>
    <row r="52" spans="1:10" customFormat="1" ht="18" hidden="1" customHeight="1" x14ac:dyDescent="0.3">
      <c r="A52" s="6">
        <f t="shared" si="8"/>
        <v>4</v>
      </c>
      <c r="B52" s="6">
        <f t="shared" si="2"/>
        <v>1</v>
      </c>
      <c r="C52" s="3" t="str">
        <f t="shared" si="6"/>
        <v/>
      </c>
      <c r="D52" s="90"/>
      <c r="E52" s="90"/>
      <c r="F52" s="90"/>
      <c r="G52" s="90"/>
      <c r="H52" s="28"/>
      <c r="I52" s="7" t="str">
        <f>IF(ISERROR(VLOOKUP($C52,Platos!$B$4:$D$15,3,FALSE)),"",VLOOKUP($C52,Platos!$B$4:$D$15,3,FALSE))</f>
        <v/>
      </c>
      <c r="J52" s="8" t="str">
        <f t="shared" si="7"/>
        <v/>
      </c>
    </row>
    <row r="53" spans="1:10" customFormat="1" ht="18" hidden="1" customHeight="1" x14ac:dyDescent="0.3">
      <c r="A53" s="6">
        <f t="shared" si="8"/>
        <v>4</v>
      </c>
      <c r="B53" s="6">
        <f t="shared" si="2"/>
        <v>1</v>
      </c>
      <c r="C53" s="3" t="str">
        <f t="shared" si="6"/>
        <v/>
      </c>
      <c r="D53" s="90"/>
      <c r="E53" s="90"/>
      <c r="F53" s="90"/>
      <c r="G53" s="90"/>
      <c r="H53" s="28"/>
      <c r="I53" s="7" t="str">
        <f>IF(ISERROR(VLOOKUP($C53,Platos!$B$4:$D$15,3,FALSE)),"",VLOOKUP($C53,Platos!$B$4:$D$15,3,FALSE))</f>
        <v/>
      </c>
      <c r="J53" s="8" t="str">
        <f t="shared" si="7"/>
        <v/>
      </c>
    </row>
    <row r="54" spans="1:10" customFormat="1" ht="18" hidden="1" customHeight="1" x14ac:dyDescent="0.3">
      <c r="A54" s="6">
        <f t="shared" si="8"/>
        <v>4</v>
      </c>
      <c r="B54" s="6">
        <f t="shared" si="2"/>
        <v>1</v>
      </c>
      <c r="C54" s="3" t="str">
        <f t="shared" si="6"/>
        <v/>
      </c>
      <c r="D54" s="90"/>
      <c r="E54" s="90"/>
      <c r="F54" s="90"/>
      <c r="G54" s="90"/>
      <c r="H54" s="28"/>
      <c r="I54" s="7" t="str">
        <f>IF(ISERROR(VLOOKUP($C54,Platos!$B$4:$D$15,3,FALSE)),"",VLOOKUP($C54,Platos!$B$4:$D$15,3,FALSE))</f>
        <v/>
      </c>
      <c r="J54" s="8" t="str">
        <f t="shared" si="7"/>
        <v/>
      </c>
    </row>
    <row r="55" spans="1:10" customFormat="1" ht="18" hidden="1" customHeight="1" x14ac:dyDescent="0.3">
      <c r="A55" s="6">
        <f t="shared" si="8"/>
        <v>4</v>
      </c>
      <c r="B55" s="6">
        <f t="shared" si="2"/>
        <v>1</v>
      </c>
      <c r="C55" s="3" t="str">
        <f t="shared" si="6"/>
        <v/>
      </c>
      <c r="D55" s="90"/>
      <c r="E55" s="90"/>
      <c r="F55" s="90"/>
      <c r="G55" s="90"/>
      <c r="H55" s="28"/>
      <c r="I55" s="7" t="str">
        <f>IF(ISERROR(VLOOKUP($C55,Platos!$B$4:$D$15,3,FALSE)),"",VLOOKUP($C55,Platos!$B$4:$D$15,3,FALSE))</f>
        <v/>
      </c>
      <c r="J55" s="8" t="str">
        <f t="shared" si="7"/>
        <v/>
      </c>
    </row>
    <row r="56" spans="1:10" customFormat="1" ht="18" hidden="1" customHeight="1" x14ac:dyDescent="0.3">
      <c r="A56" s="6">
        <f t="shared" si="8"/>
        <v>4</v>
      </c>
      <c r="B56" s="6">
        <f t="shared" si="2"/>
        <v>1</v>
      </c>
      <c r="C56" s="3" t="str">
        <f t="shared" si="6"/>
        <v/>
      </c>
      <c r="D56" s="90"/>
      <c r="E56" s="90"/>
      <c r="F56" s="90"/>
      <c r="G56" s="90"/>
      <c r="H56" s="28"/>
      <c r="I56" s="7" t="str">
        <f>IF(ISERROR(VLOOKUP($C56,Platos!$B$4:$D$15,3,FALSE)),"",VLOOKUP($C56,Platos!$B$4:$D$15,3,FALSE))</f>
        <v/>
      </c>
      <c r="J56" s="8" t="str">
        <f t="shared" si="7"/>
        <v/>
      </c>
    </row>
    <row r="57" spans="1:10" customFormat="1" ht="18" hidden="1" customHeight="1" thickBot="1" x14ac:dyDescent="0.3">
      <c r="A57" s="9">
        <f t="shared" si="8"/>
        <v>4</v>
      </c>
      <c r="B57" s="9">
        <f t="shared" si="2"/>
        <v>1</v>
      </c>
      <c r="C57" s="10" t="str">
        <f t="shared" si="6"/>
        <v/>
      </c>
      <c r="D57" s="100"/>
      <c r="E57" s="100"/>
      <c r="F57" s="100"/>
      <c r="G57" s="100"/>
      <c r="H57" s="29"/>
      <c r="I57" s="11" t="str">
        <f>IF(ISERROR(VLOOKUP($C57,Platos!$B$4:$D$15,3,FALSE)),"",VLOOKUP($C57,Platos!$B$4:$D$15,3,FALSE))</f>
        <v/>
      </c>
      <c r="J57" s="15" t="str">
        <f t="shared" si="7"/>
        <v/>
      </c>
    </row>
    <row r="58" spans="1:10" customFormat="1" ht="18" hidden="1" customHeight="1" x14ac:dyDescent="0.3">
      <c r="A58" s="2">
        <v>5</v>
      </c>
      <c r="B58" s="2">
        <f t="shared" si="2"/>
        <v>1</v>
      </c>
      <c r="C58" s="13" t="str">
        <f t="shared" si="6"/>
        <v/>
      </c>
      <c r="D58" s="101"/>
      <c r="E58" s="101"/>
      <c r="F58" s="101"/>
      <c r="G58" s="101"/>
      <c r="H58" s="27"/>
      <c r="I58" s="4" t="str">
        <f>IF(ISERROR(VLOOKUP($C58,Platos!$B$4:$D$15,3,FALSE)),"",VLOOKUP($C58,Platos!$B$4:$D$15,3,FALSE))</f>
        <v/>
      </c>
      <c r="J58" s="14" t="str">
        <f t="shared" si="7"/>
        <v/>
      </c>
    </row>
    <row r="59" spans="1:10" customFormat="1" ht="18" hidden="1" customHeight="1" x14ac:dyDescent="0.3">
      <c r="A59" s="6">
        <f>A58</f>
        <v>5</v>
      </c>
      <c r="B59" s="6">
        <f t="shared" si="2"/>
        <v>1</v>
      </c>
      <c r="C59" s="3" t="str">
        <f t="shared" si="6"/>
        <v/>
      </c>
      <c r="D59" s="90"/>
      <c r="E59" s="90"/>
      <c r="F59" s="90"/>
      <c r="G59" s="90"/>
      <c r="H59" s="28"/>
      <c r="I59" s="7" t="str">
        <f>IF(ISERROR(VLOOKUP($C59,Platos!$B$4:$D$15,3,FALSE)),"",VLOOKUP($C59,Platos!$B$4:$D$15,3,FALSE))</f>
        <v/>
      </c>
      <c r="J59" s="8" t="str">
        <f t="shared" si="7"/>
        <v/>
      </c>
    </row>
    <row r="60" spans="1:10" customFormat="1" ht="18" hidden="1" customHeight="1" x14ac:dyDescent="0.3">
      <c r="A60" s="6">
        <f t="shared" ref="A60:A69" si="9">A59</f>
        <v>5</v>
      </c>
      <c r="B60" s="6">
        <f t="shared" si="2"/>
        <v>1</v>
      </c>
      <c r="C60" s="3" t="str">
        <f t="shared" si="6"/>
        <v/>
      </c>
      <c r="D60" s="90"/>
      <c r="E60" s="90"/>
      <c r="F60" s="90"/>
      <c r="G60" s="90"/>
      <c r="H60" s="28"/>
      <c r="I60" s="7" t="str">
        <f>IF(ISERROR(VLOOKUP($C60,Platos!$B$4:$D$15,3,FALSE)),"",VLOOKUP($C60,Platos!$B$4:$D$15,3,FALSE))</f>
        <v/>
      </c>
      <c r="J60" s="8" t="str">
        <f t="shared" si="7"/>
        <v/>
      </c>
    </row>
    <row r="61" spans="1:10" customFormat="1" ht="18" hidden="1" customHeight="1" x14ac:dyDescent="0.3">
      <c r="A61" s="6">
        <f t="shared" si="9"/>
        <v>5</v>
      </c>
      <c r="B61" s="6">
        <f t="shared" si="2"/>
        <v>1</v>
      </c>
      <c r="C61" s="3" t="str">
        <f t="shared" si="6"/>
        <v/>
      </c>
      <c r="D61" s="90"/>
      <c r="E61" s="90"/>
      <c r="F61" s="90"/>
      <c r="G61" s="90"/>
      <c r="H61" s="28"/>
      <c r="I61" s="7" t="str">
        <f>IF(ISERROR(VLOOKUP($C61,Platos!$B$4:$D$15,3,FALSE)),"",VLOOKUP($C61,Platos!$B$4:$D$15,3,FALSE))</f>
        <v/>
      </c>
      <c r="J61" s="8" t="str">
        <f t="shared" si="7"/>
        <v/>
      </c>
    </row>
    <row r="62" spans="1:10" customFormat="1" ht="18" hidden="1" customHeight="1" x14ac:dyDescent="0.3">
      <c r="A62" s="6">
        <f t="shared" si="9"/>
        <v>5</v>
      </c>
      <c r="B62" s="6">
        <f t="shared" si="2"/>
        <v>1</v>
      </c>
      <c r="C62" s="3" t="str">
        <f t="shared" si="6"/>
        <v/>
      </c>
      <c r="D62" s="90"/>
      <c r="E62" s="90"/>
      <c r="F62" s="90"/>
      <c r="G62" s="90"/>
      <c r="H62" s="28"/>
      <c r="I62" s="7" t="str">
        <f>IF(ISERROR(VLOOKUP($C62,Platos!$B$4:$D$15,3,FALSE)),"",VLOOKUP($C62,Platos!$B$4:$D$15,3,FALSE))</f>
        <v/>
      </c>
      <c r="J62" s="8" t="str">
        <f t="shared" si="7"/>
        <v/>
      </c>
    </row>
    <row r="63" spans="1:10" customFormat="1" ht="18" hidden="1" customHeight="1" x14ac:dyDescent="0.3">
      <c r="A63" s="6">
        <f t="shared" si="9"/>
        <v>5</v>
      </c>
      <c r="B63" s="6">
        <f t="shared" si="2"/>
        <v>1</v>
      </c>
      <c r="C63" s="3" t="str">
        <f t="shared" si="6"/>
        <v/>
      </c>
      <c r="D63" s="90"/>
      <c r="E63" s="90"/>
      <c r="F63" s="90"/>
      <c r="G63" s="90"/>
      <c r="H63" s="28"/>
      <c r="I63" s="7" t="str">
        <f>IF(ISERROR(VLOOKUP($C63,Platos!$B$4:$D$15,3,FALSE)),"",VLOOKUP($C63,Platos!$B$4:$D$15,3,FALSE))</f>
        <v/>
      </c>
      <c r="J63" s="8" t="str">
        <f t="shared" si="7"/>
        <v/>
      </c>
    </row>
    <row r="64" spans="1:10" customFormat="1" ht="18" hidden="1" customHeight="1" x14ac:dyDescent="0.3">
      <c r="A64" s="6">
        <f t="shared" si="9"/>
        <v>5</v>
      </c>
      <c r="B64" s="6">
        <f t="shared" si="2"/>
        <v>1</v>
      </c>
      <c r="C64" s="3" t="str">
        <f t="shared" si="6"/>
        <v/>
      </c>
      <c r="D64" s="90"/>
      <c r="E64" s="90"/>
      <c r="F64" s="90"/>
      <c r="G64" s="90"/>
      <c r="H64" s="28"/>
      <c r="I64" s="7" t="str">
        <f>IF(ISERROR(VLOOKUP($C64,Platos!$B$4:$D$15,3,FALSE)),"",VLOOKUP($C64,Platos!$B$4:$D$15,3,FALSE))</f>
        <v/>
      </c>
      <c r="J64" s="8" t="str">
        <f t="shared" si="7"/>
        <v/>
      </c>
    </row>
    <row r="65" spans="1:10" customFormat="1" ht="18" hidden="1" customHeight="1" x14ac:dyDescent="0.3">
      <c r="A65" s="6">
        <f t="shared" si="9"/>
        <v>5</v>
      </c>
      <c r="B65" s="6">
        <f t="shared" si="2"/>
        <v>1</v>
      </c>
      <c r="C65" s="3" t="str">
        <f t="shared" si="6"/>
        <v/>
      </c>
      <c r="D65" s="90"/>
      <c r="E65" s="90"/>
      <c r="F65" s="90"/>
      <c r="G65" s="90"/>
      <c r="H65" s="28"/>
      <c r="I65" s="7" t="str">
        <f>IF(ISERROR(VLOOKUP($C65,Platos!$B$4:$D$15,3,FALSE)),"",VLOOKUP($C65,Platos!$B$4:$D$15,3,FALSE))</f>
        <v/>
      </c>
      <c r="J65" s="8" t="str">
        <f t="shared" si="7"/>
        <v/>
      </c>
    </row>
    <row r="66" spans="1:10" customFormat="1" ht="18" hidden="1" customHeight="1" x14ac:dyDescent="0.3">
      <c r="A66" s="6">
        <f t="shared" si="9"/>
        <v>5</v>
      </c>
      <c r="B66" s="6">
        <f t="shared" si="2"/>
        <v>1</v>
      </c>
      <c r="C66" s="3" t="str">
        <f t="shared" si="6"/>
        <v/>
      </c>
      <c r="D66" s="90"/>
      <c r="E66" s="90"/>
      <c r="F66" s="90"/>
      <c r="G66" s="90"/>
      <c r="H66" s="28"/>
      <c r="I66" s="7" t="str">
        <f>IF(ISERROR(VLOOKUP($C66,Platos!$B$4:$D$15,3,FALSE)),"",VLOOKUP($C66,Platos!$B$4:$D$15,3,FALSE))</f>
        <v/>
      </c>
      <c r="J66" s="8" t="str">
        <f t="shared" si="7"/>
        <v/>
      </c>
    </row>
    <row r="67" spans="1:10" customFormat="1" ht="18" hidden="1" customHeight="1" x14ac:dyDescent="0.3">
      <c r="A67" s="6">
        <f t="shared" si="9"/>
        <v>5</v>
      </c>
      <c r="B67" s="6">
        <f t="shared" si="2"/>
        <v>1</v>
      </c>
      <c r="C67" s="3" t="str">
        <f t="shared" si="6"/>
        <v/>
      </c>
      <c r="D67" s="90"/>
      <c r="E67" s="90"/>
      <c r="F67" s="90"/>
      <c r="G67" s="90"/>
      <c r="H67" s="28"/>
      <c r="I67" s="7" t="str">
        <f>IF(ISERROR(VLOOKUP($C67,Platos!$B$4:$D$15,3,FALSE)),"",VLOOKUP($C67,Platos!$B$4:$D$15,3,FALSE))</f>
        <v/>
      </c>
      <c r="J67" s="8" t="str">
        <f t="shared" si="7"/>
        <v/>
      </c>
    </row>
    <row r="68" spans="1:10" customFormat="1" ht="18" hidden="1" customHeight="1" x14ac:dyDescent="0.3">
      <c r="A68" s="6">
        <f t="shared" si="9"/>
        <v>5</v>
      </c>
      <c r="B68" s="6">
        <f t="shared" si="2"/>
        <v>1</v>
      </c>
      <c r="C68" s="3" t="str">
        <f t="shared" si="6"/>
        <v/>
      </c>
      <c r="D68" s="90"/>
      <c r="E68" s="90"/>
      <c r="F68" s="90"/>
      <c r="G68" s="90"/>
      <c r="H68" s="28"/>
      <c r="I68" s="7" t="str">
        <f>IF(ISERROR(VLOOKUP($C68,Platos!$B$4:$D$15,3,FALSE)),"",VLOOKUP($C68,Platos!$B$4:$D$15,3,FALSE))</f>
        <v/>
      </c>
      <c r="J68" s="8" t="str">
        <f t="shared" si="7"/>
        <v/>
      </c>
    </row>
    <row r="69" spans="1:10" customFormat="1" ht="18" hidden="1" customHeight="1" thickBot="1" x14ac:dyDescent="0.3">
      <c r="A69" s="9">
        <f t="shared" si="9"/>
        <v>5</v>
      </c>
      <c r="B69" s="9">
        <f t="shared" si="2"/>
        <v>1</v>
      </c>
      <c r="C69" s="10" t="str">
        <f t="shared" si="6"/>
        <v/>
      </c>
      <c r="D69" s="100"/>
      <c r="E69" s="100"/>
      <c r="F69" s="100"/>
      <c r="G69" s="100"/>
      <c r="H69" s="29"/>
      <c r="I69" s="11" t="str">
        <f>IF(ISERROR(VLOOKUP($C69,Platos!$B$4:$D$15,3,FALSE)),"",VLOOKUP($C69,Platos!$B$4:$D$15,3,FALSE))</f>
        <v/>
      </c>
      <c r="J69" s="15" t="str">
        <f t="shared" si="7"/>
        <v/>
      </c>
    </row>
    <row r="70" spans="1:10" customFormat="1" ht="18" hidden="1" customHeight="1" x14ac:dyDescent="0.3">
      <c r="A70" s="2">
        <v>6</v>
      </c>
      <c r="B70" s="2">
        <v>2</v>
      </c>
      <c r="C70" s="13" t="str">
        <f t="shared" si="6"/>
        <v/>
      </c>
      <c r="D70" s="101"/>
      <c r="E70" s="101"/>
      <c r="F70" s="101"/>
      <c r="G70" s="101"/>
      <c r="H70" s="27"/>
      <c r="I70" s="4" t="str">
        <f>IF(ISERROR(VLOOKUP($C70,Platos!$B$4:$D$15,3,FALSE)),"",VLOOKUP($C70,Platos!$B$4:$D$15,3,FALSE))</f>
        <v/>
      </c>
      <c r="J70" s="14" t="str">
        <f t="shared" si="7"/>
        <v/>
      </c>
    </row>
    <row r="71" spans="1:10" customFormat="1" ht="18" hidden="1" customHeight="1" x14ac:dyDescent="0.3">
      <c r="A71" s="6">
        <f>A70</f>
        <v>6</v>
      </c>
      <c r="B71" s="6">
        <f t="shared" si="2"/>
        <v>2</v>
      </c>
      <c r="C71" s="3" t="str">
        <f t="shared" si="6"/>
        <v/>
      </c>
      <c r="D71" s="90"/>
      <c r="E71" s="90"/>
      <c r="F71" s="90"/>
      <c r="G71" s="90"/>
      <c r="H71" s="28"/>
      <c r="I71" s="7" t="str">
        <f>IF(ISERROR(VLOOKUP($C71,Platos!$B$4:$D$15,3,FALSE)),"",VLOOKUP($C71,Platos!$B$4:$D$15,3,FALSE))</f>
        <v/>
      </c>
      <c r="J71" s="8" t="str">
        <f t="shared" si="7"/>
        <v/>
      </c>
    </row>
    <row r="72" spans="1:10" customFormat="1" ht="18" hidden="1" customHeight="1" x14ac:dyDescent="0.3">
      <c r="A72" s="6">
        <f t="shared" ref="A72:A81" si="10">A71</f>
        <v>6</v>
      </c>
      <c r="B72" s="6">
        <f t="shared" si="2"/>
        <v>2</v>
      </c>
      <c r="C72" s="3" t="str">
        <f t="shared" si="6"/>
        <v/>
      </c>
      <c r="D72" s="90"/>
      <c r="E72" s="90"/>
      <c r="F72" s="90"/>
      <c r="G72" s="90"/>
      <c r="H72" s="28"/>
      <c r="I72" s="7" t="str">
        <f>IF(ISERROR(VLOOKUP($C72,Platos!$B$4:$D$15,3,FALSE)),"",VLOOKUP($C72,Platos!$B$4:$D$15,3,FALSE))</f>
        <v/>
      </c>
      <c r="J72" s="8" t="str">
        <f t="shared" si="7"/>
        <v/>
      </c>
    </row>
    <row r="73" spans="1:10" customFormat="1" ht="18" hidden="1" customHeight="1" x14ac:dyDescent="0.3">
      <c r="A73" s="6">
        <f t="shared" si="10"/>
        <v>6</v>
      </c>
      <c r="B73" s="6">
        <f t="shared" si="2"/>
        <v>2</v>
      </c>
      <c r="C73" s="3" t="str">
        <f t="shared" si="6"/>
        <v/>
      </c>
      <c r="D73" s="90"/>
      <c r="E73" s="90"/>
      <c r="F73" s="90"/>
      <c r="G73" s="90"/>
      <c r="H73" s="28"/>
      <c r="I73" s="7" t="str">
        <f>IF(ISERROR(VLOOKUP($C73,Platos!$B$4:$D$15,3,FALSE)),"",VLOOKUP($C73,Platos!$B$4:$D$15,3,FALSE))</f>
        <v/>
      </c>
      <c r="J73" s="8" t="str">
        <f t="shared" si="7"/>
        <v/>
      </c>
    </row>
    <row r="74" spans="1:10" customFormat="1" ht="18" hidden="1" customHeight="1" x14ac:dyDescent="0.3">
      <c r="A74" s="6">
        <f t="shared" si="10"/>
        <v>6</v>
      </c>
      <c r="B74" s="6">
        <f t="shared" si="2"/>
        <v>2</v>
      </c>
      <c r="C74" s="3" t="str">
        <f t="shared" ref="C74:C105" si="11">IF(ISERROR(MATCH(D74,Platos,0)),"",MATCH(D74,Platos,0))</f>
        <v/>
      </c>
      <c r="D74" s="90"/>
      <c r="E74" s="90"/>
      <c r="F74" s="90"/>
      <c r="G74" s="90"/>
      <c r="H74" s="28"/>
      <c r="I74" s="7" t="str">
        <f>IF(ISERROR(VLOOKUP($C74,Platos!$B$4:$D$15,3,FALSE)),"",VLOOKUP($C74,Platos!$B$4:$D$15,3,FALSE))</f>
        <v/>
      </c>
      <c r="J74" s="8" t="str">
        <f t="shared" ref="J74:J105" si="12">IF(ISERROR($H74*$I74),"",$H74*$I74)</f>
        <v/>
      </c>
    </row>
    <row r="75" spans="1:10" customFormat="1" ht="18" hidden="1" customHeight="1" x14ac:dyDescent="0.3">
      <c r="A75" s="6">
        <f t="shared" si="10"/>
        <v>6</v>
      </c>
      <c r="B75" s="6">
        <f t="shared" si="2"/>
        <v>2</v>
      </c>
      <c r="C75" s="3" t="str">
        <f t="shared" si="11"/>
        <v/>
      </c>
      <c r="D75" s="90"/>
      <c r="E75" s="90"/>
      <c r="F75" s="90"/>
      <c r="G75" s="90"/>
      <c r="H75" s="28"/>
      <c r="I75" s="7" t="str">
        <f>IF(ISERROR(VLOOKUP($C75,Platos!$B$4:$D$15,3,FALSE)),"",VLOOKUP($C75,Platos!$B$4:$D$15,3,FALSE))</f>
        <v/>
      </c>
      <c r="J75" s="8" t="str">
        <f t="shared" si="12"/>
        <v/>
      </c>
    </row>
    <row r="76" spans="1:10" customFormat="1" ht="18" hidden="1" customHeight="1" x14ac:dyDescent="0.3">
      <c r="A76" s="6">
        <f t="shared" si="10"/>
        <v>6</v>
      </c>
      <c r="B76" s="6">
        <f t="shared" ref="B76:B139" si="13">B75</f>
        <v>2</v>
      </c>
      <c r="C76" s="3" t="str">
        <f t="shared" si="11"/>
        <v/>
      </c>
      <c r="D76" s="90"/>
      <c r="E76" s="90"/>
      <c r="F76" s="90"/>
      <c r="G76" s="90"/>
      <c r="H76" s="28"/>
      <c r="I76" s="7" t="str">
        <f>IF(ISERROR(VLOOKUP($C76,Platos!$B$4:$D$15,3,FALSE)),"",VLOOKUP($C76,Platos!$B$4:$D$15,3,FALSE))</f>
        <v/>
      </c>
      <c r="J76" s="8" t="str">
        <f t="shared" si="12"/>
        <v/>
      </c>
    </row>
    <row r="77" spans="1:10" customFormat="1" ht="18" hidden="1" customHeight="1" x14ac:dyDescent="0.3">
      <c r="A77" s="6">
        <f t="shared" si="10"/>
        <v>6</v>
      </c>
      <c r="B77" s="6">
        <f t="shared" si="13"/>
        <v>2</v>
      </c>
      <c r="C77" s="3" t="str">
        <f t="shared" si="11"/>
        <v/>
      </c>
      <c r="D77" s="90"/>
      <c r="E77" s="90"/>
      <c r="F77" s="90"/>
      <c r="G77" s="90"/>
      <c r="H77" s="28"/>
      <c r="I77" s="7" t="str">
        <f>IF(ISERROR(VLOOKUP($C77,Platos!$B$4:$D$15,3,FALSE)),"",VLOOKUP($C77,Platos!$B$4:$D$15,3,FALSE))</f>
        <v/>
      </c>
      <c r="J77" s="8" t="str">
        <f t="shared" si="12"/>
        <v/>
      </c>
    </row>
    <row r="78" spans="1:10" customFormat="1" ht="18" hidden="1" customHeight="1" x14ac:dyDescent="0.3">
      <c r="A78" s="6">
        <f t="shared" si="10"/>
        <v>6</v>
      </c>
      <c r="B78" s="6">
        <f t="shared" si="13"/>
        <v>2</v>
      </c>
      <c r="C78" s="3" t="str">
        <f t="shared" si="11"/>
        <v/>
      </c>
      <c r="D78" s="90"/>
      <c r="E78" s="90"/>
      <c r="F78" s="90"/>
      <c r="G78" s="90"/>
      <c r="H78" s="28"/>
      <c r="I78" s="7" t="str">
        <f>IF(ISERROR(VLOOKUP($C78,Platos!$B$4:$D$15,3,FALSE)),"",VLOOKUP($C78,Platos!$B$4:$D$15,3,FALSE))</f>
        <v/>
      </c>
      <c r="J78" s="8" t="str">
        <f t="shared" si="12"/>
        <v/>
      </c>
    </row>
    <row r="79" spans="1:10" customFormat="1" ht="18" hidden="1" customHeight="1" x14ac:dyDescent="0.3">
      <c r="A79" s="6">
        <f t="shared" si="10"/>
        <v>6</v>
      </c>
      <c r="B79" s="6">
        <f t="shared" si="13"/>
        <v>2</v>
      </c>
      <c r="C79" s="3" t="str">
        <f t="shared" si="11"/>
        <v/>
      </c>
      <c r="D79" s="90"/>
      <c r="E79" s="90"/>
      <c r="F79" s="90"/>
      <c r="G79" s="90"/>
      <c r="H79" s="28"/>
      <c r="I79" s="7" t="str">
        <f>IF(ISERROR(VLOOKUP($C79,Platos!$B$4:$D$15,3,FALSE)),"",VLOOKUP($C79,Platos!$B$4:$D$15,3,FALSE))</f>
        <v/>
      </c>
      <c r="J79" s="8" t="str">
        <f t="shared" si="12"/>
        <v/>
      </c>
    </row>
    <row r="80" spans="1:10" customFormat="1" ht="18" hidden="1" customHeight="1" x14ac:dyDescent="0.3">
      <c r="A80" s="6">
        <f t="shared" si="10"/>
        <v>6</v>
      </c>
      <c r="B80" s="6">
        <f t="shared" si="13"/>
        <v>2</v>
      </c>
      <c r="C80" s="3" t="str">
        <f t="shared" si="11"/>
        <v/>
      </c>
      <c r="D80" s="90"/>
      <c r="E80" s="90"/>
      <c r="F80" s="90"/>
      <c r="G80" s="90"/>
      <c r="H80" s="28"/>
      <c r="I80" s="7" t="str">
        <f>IF(ISERROR(VLOOKUP($C80,Platos!$B$4:$D$15,3,FALSE)),"",VLOOKUP($C80,Platos!$B$4:$D$15,3,FALSE))</f>
        <v/>
      </c>
      <c r="J80" s="8" t="str">
        <f t="shared" si="12"/>
        <v/>
      </c>
    </row>
    <row r="81" spans="1:10" customFormat="1" ht="18" hidden="1" customHeight="1" thickBot="1" x14ac:dyDescent="0.3">
      <c r="A81" s="9">
        <f t="shared" si="10"/>
        <v>6</v>
      </c>
      <c r="B81" s="9">
        <f t="shared" si="13"/>
        <v>2</v>
      </c>
      <c r="C81" s="10" t="str">
        <f t="shared" si="11"/>
        <v/>
      </c>
      <c r="D81" s="100"/>
      <c r="E81" s="100"/>
      <c r="F81" s="100"/>
      <c r="G81" s="100"/>
      <c r="H81" s="29"/>
      <c r="I81" s="11" t="str">
        <f>IF(ISERROR(VLOOKUP($C81,Platos!$B$4:$D$15,3,FALSE)),"",VLOOKUP($C81,Platos!$B$4:$D$15,3,FALSE))</f>
        <v/>
      </c>
      <c r="J81" s="15" t="str">
        <f t="shared" si="12"/>
        <v/>
      </c>
    </row>
    <row r="82" spans="1:10" customFormat="1" ht="18" hidden="1" customHeight="1" x14ac:dyDescent="0.3">
      <c r="A82" s="2">
        <v>7</v>
      </c>
      <c r="B82" s="2">
        <f t="shared" si="13"/>
        <v>2</v>
      </c>
      <c r="C82" s="13" t="str">
        <f t="shared" si="11"/>
        <v/>
      </c>
      <c r="D82" s="101"/>
      <c r="E82" s="101"/>
      <c r="F82" s="101"/>
      <c r="G82" s="101"/>
      <c r="H82" s="27"/>
      <c r="I82" s="4" t="str">
        <f>IF(ISERROR(VLOOKUP($C82,Platos!$B$4:$D$15,3,FALSE)),"",VLOOKUP($C82,Platos!$B$4:$D$15,3,FALSE))</f>
        <v/>
      </c>
      <c r="J82" s="14" t="str">
        <f t="shared" si="12"/>
        <v/>
      </c>
    </row>
    <row r="83" spans="1:10" customFormat="1" ht="18" hidden="1" customHeight="1" x14ac:dyDescent="0.3">
      <c r="A83" s="6">
        <f>A82</f>
        <v>7</v>
      </c>
      <c r="B83" s="6">
        <f t="shared" si="13"/>
        <v>2</v>
      </c>
      <c r="C83" s="3" t="str">
        <f t="shared" si="11"/>
        <v/>
      </c>
      <c r="D83" s="90"/>
      <c r="E83" s="90"/>
      <c r="F83" s="90"/>
      <c r="G83" s="90"/>
      <c r="H83" s="28"/>
      <c r="I83" s="7" t="str">
        <f>IF(ISERROR(VLOOKUP($C83,Platos!$B$4:$D$15,3,FALSE)),"",VLOOKUP($C83,Platos!$B$4:$D$15,3,FALSE))</f>
        <v/>
      </c>
      <c r="J83" s="8" t="str">
        <f t="shared" si="12"/>
        <v/>
      </c>
    </row>
    <row r="84" spans="1:10" customFormat="1" ht="18" hidden="1" customHeight="1" x14ac:dyDescent="0.3">
      <c r="A84" s="6">
        <f t="shared" ref="A84:A93" si="14">A83</f>
        <v>7</v>
      </c>
      <c r="B84" s="6">
        <f t="shared" si="13"/>
        <v>2</v>
      </c>
      <c r="C84" s="3" t="str">
        <f t="shared" si="11"/>
        <v/>
      </c>
      <c r="D84" s="90"/>
      <c r="E84" s="90"/>
      <c r="F84" s="90"/>
      <c r="G84" s="90"/>
      <c r="H84" s="28"/>
      <c r="I84" s="7" t="str">
        <f>IF(ISERROR(VLOOKUP($C84,Platos!$B$4:$D$15,3,FALSE)),"",VLOOKUP($C84,Platos!$B$4:$D$15,3,FALSE))</f>
        <v/>
      </c>
      <c r="J84" s="8" t="str">
        <f t="shared" si="12"/>
        <v/>
      </c>
    </row>
    <row r="85" spans="1:10" customFormat="1" ht="18" hidden="1" customHeight="1" x14ac:dyDescent="0.3">
      <c r="A85" s="6">
        <f t="shared" si="14"/>
        <v>7</v>
      </c>
      <c r="B85" s="6">
        <f t="shared" si="13"/>
        <v>2</v>
      </c>
      <c r="C85" s="3" t="str">
        <f t="shared" si="11"/>
        <v/>
      </c>
      <c r="D85" s="90"/>
      <c r="E85" s="90"/>
      <c r="F85" s="90"/>
      <c r="G85" s="90"/>
      <c r="H85" s="28"/>
      <c r="I85" s="7" t="str">
        <f>IF(ISERROR(VLOOKUP($C85,Platos!$B$4:$D$15,3,FALSE)),"",VLOOKUP($C85,Platos!$B$4:$D$15,3,FALSE))</f>
        <v/>
      </c>
      <c r="J85" s="8" t="str">
        <f t="shared" si="12"/>
        <v/>
      </c>
    </row>
    <row r="86" spans="1:10" customFormat="1" ht="18" hidden="1" customHeight="1" x14ac:dyDescent="0.3">
      <c r="A86" s="6">
        <f t="shared" si="14"/>
        <v>7</v>
      </c>
      <c r="B86" s="6">
        <f t="shared" si="13"/>
        <v>2</v>
      </c>
      <c r="C86" s="3" t="str">
        <f t="shared" si="11"/>
        <v/>
      </c>
      <c r="D86" s="90"/>
      <c r="E86" s="90"/>
      <c r="F86" s="90"/>
      <c r="G86" s="90"/>
      <c r="H86" s="28"/>
      <c r="I86" s="7" t="str">
        <f>IF(ISERROR(VLOOKUP($C86,Platos!$B$4:$D$15,3,FALSE)),"",VLOOKUP($C86,Platos!$B$4:$D$15,3,FALSE))</f>
        <v/>
      </c>
      <c r="J86" s="8" t="str">
        <f t="shared" si="12"/>
        <v/>
      </c>
    </row>
    <row r="87" spans="1:10" customFormat="1" ht="18" hidden="1" customHeight="1" x14ac:dyDescent="0.3">
      <c r="A87" s="6">
        <f t="shared" si="14"/>
        <v>7</v>
      </c>
      <c r="B87" s="6">
        <f t="shared" si="13"/>
        <v>2</v>
      </c>
      <c r="C87" s="3" t="str">
        <f t="shared" si="11"/>
        <v/>
      </c>
      <c r="D87" s="90"/>
      <c r="E87" s="90"/>
      <c r="F87" s="90"/>
      <c r="G87" s="90"/>
      <c r="H87" s="28"/>
      <c r="I87" s="7" t="str">
        <f>IF(ISERROR(VLOOKUP($C87,Platos!$B$4:$D$15,3,FALSE)),"",VLOOKUP($C87,Platos!$B$4:$D$15,3,FALSE))</f>
        <v/>
      </c>
      <c r="J87" s="8" t="str">
        <f t="shared" si="12"/>
        <v/>
      </c>
    </row>
    <row r="88" spans="1:10" customFormat="1" ht="18" hidden="1" customHeight="1" x14ac:dyDescent="0.3">
      <c r="A88" s="6">
        <f t="shared" si="14"/>
        <v>7</v>
      </c>
      <c r="B88" s="6">
        <f t="shared" si="13"/>
        <v>2</v>
      </c>
      <c r="C88" s="3" t="str">
        <f t="shared" si="11"/>
        <v/>
      </c>
      <c r="D88" s="90"/>
      <c r="E88" s="90"/>
      <c r="F88" s="90"/>
      <c r="G88" s="90"/>
      <c r="H88" s="28"/>
      <c r="I88" s="7" t="str">
        <f>IF(ISERROR(VLOOKUP($C88,Platos!$B$4:$D$15,3,FALSE)),"",VLOOKUP($C88,Platos!$B$4:$D$15,3,FALSE))</f>
        <v/>
      </c>
      <c r="J88" s="8" t="str">
        <f t="shared" si="12"/>
        <v/>
      </c>
    </row>
    <row r="89" spans="1:10" customFormat="1" ht="18" hidden="1" customHeight="1" x14ac:dyDescent="0.3">
      <c r="A89" s="6">
        <f t="shared" si="14"/>
        <v>7</v>
      </c>
      <c r="B89" s="6">
        <f t="shared" si="13"/>
        <v>2</v>
      </c>
      <c r="C89" s="3" t="str">
        <f t="shared" si="11"/>
        <v/>
      </c>
      <c r="D89" s="90"/>
      <c r="E89" s="90"/>
      <c r="F89" s="90"/>
      <c r="G89" s="90"/>
      <c r="H89" s="28"/>
      <c r="I89" s="7" t="str">
        <f>IF(ISERROR(VLOOKUP($C89,Platos!$B$4:$D$15,3,FALSE)),"",VLOOKUP($C89,Platos!$B$4:$D$15,3,FALSE))</f>
        <v/>
      </c>
      <c r="J89" s="8" t="str">
        <f t="shared" si="12"/>
        <v/>
      </c>
    </row>
    <row r="90" spans="1:10" customFormat="1" ht="18" hidden="1" customHeight="1" x14ac:dyDescent="0.3">
      <c r="A90" s="6">
        <f t="shared" si="14"/>
        <v>7</v>
      </c>
      <c r="B90" s="6">
        <f t="shared" si="13"/>
        <v>2</v>
      </c>
      <c r="C90" s="3" t="str">
        <f t="shared" si="11"/>
        <v/>
      </c>
      <c r="D90" s="90"/>
      <c r="E90" s="90"/>
      <c r="F90" s="90"/>
      <c r="G90" s="90"/>
      <c r="H90" s="28"/>
      <c r="I90" s="7" t="str">
        <f>IF(ISERROR(VLOOKUP($C90,Platos!$B$4:$D$15,3,FALSE)),"",VLOOKUP($C90,Platos!$B$4:$D$15,3,FALSE))</f>
        <v/>
      </c>
      <c r="J90" s="8" t="str">
        <f t="shared" si="12"/>
        <v/>
      </c>
    </row>
    <row r="91" spans="1:10" customFormat="1" ht="18" hidden="1" customHeight="1" x14ac:dyDescent="0.3">
      <c r="A91" s="6">
        <f t="shared" si="14"/>
        <v>7</v>
      </c>
      <c r="B91" s="6">
        <f t="shared" si="13"/>
        <v>2</v>
      </c>
      <c r="C91" s="3" t="str">
        <f t="shared" si="11"/>
        <v/>
      </c>
      <c r="D91" s="90"/>
      <c r="E91" s="90"/>
      <c r="F91" s="90"/>
      <c r="G91" s="90"/>
      <c r="H91" s="28"/>
      <c r="I91" s="7" t="str">
        <f>IF(ISERROR(VLOOKUP($C91,Platos!$B$4:$D$15,3,FALSE)),"",VLOOKUP($C91,Platos!$B$4:$D$15,3,FALSE))</f>
        <v/>
      </c>
      <c r="J91" s="8" t="str">
        <f t="shared" si="12"/>
        <v/>
      </c>
    </row>
    <row r="92" spans="1:10" customFormat="1" ht="18" hidden="1" customHeight="1" x14ac:dyDescent="0.3">
      <c r="A92" s="6">
        <f t="shared" si="14"/>
        <v>7</v>
      </c>
      <c r="B92" s="6">
        <f t="shared" si="13"/>
        <v>2</v>
      </c>
      <c r="C92" s="3" t="str">
        <f t="shared" si="11"/>
        <v/>
      </c>
      <c r="D92" s="90"/>
      <c r="E92" s="90"/>
      <c r="F92" s="90"/>
      <c r="G92" s="90"/>
      <c r="H92" s="28"/>
      <c r="I92" s="7" t="str">
        <f>IF(ISERROR(VLOOKUP($C92,Platos!$B$4:$D$15,3,FALSE)),"",VLOOKUP($C92,Platos!$B$4:$D$15,3,FALSE))</f>
        <v/>
      </c>
      <c r="J92" s="8" t="str">
        <f t="shared" si="12"/>
        <v/>
      </c>
    </row>
    <row r="93" spans="1:10" customFormat="1" ht="18" hidden="1" customHeight="1" thickBot="1" x14ac:dyDescent="0.3">
      <c r="A93" s="9">
        <f t="shared" si="14"/>
        <v>7</v>
      </c>
      <c r="B93" s="9">
        <f t="shared" si="13"/>
        <v>2</v>
      </c>
      <c r="C93" s="10" t="str">
        <f t="shared" si="11"/>
        <v/>
      </c>
      <c r="D93" s="100"/>
      <c r="E93" s="100"/>
      <c r="F93" s="100"/>
      <c r="G93" s="100"/>
      <c r="H93" s="29"/>
      <c r="I93" s="11" t="str">
        <f>IF(ISERROR(VLOOKUP($C93,Platos!$B$4:$D$15,3,FALSE)),"",VLOOKUP($C93,Platos!$B$4:$D$15,3,FALSE))</f>
        <v/>
      </c>
      <c r="J93" s="15" t="str">
        <f t="shared" si="12"/>
        <v/>
      </c>
    </row>
    <row r="94" spans="1:10" customFormat="1" ht="18" hidden="1" customHeight="1" x14ac:dyDescent="0.3">
      <c r="A94" s="2">
        <v>8</v>
      </c>
      <c r="B94" s="2">
        <f t="shared" si="13"/>
        <v>2</v>
      </c>
      <c r="C94" s="3" t="str">
        <f t="shared" si="11"/>
        <v/>
      </c>
      <c r="D94" s="101"/>
      <c r="E94" s="101"/>
      <c r="F94" s="101"/>
      <c r="G94" s="101"/>
      <c r="H94" s="27"/>
      <c r="I94" s="4" t="str">
        <f>IF(ISERROR(VLOOKUP($C94,Platos!$B$4:$D$15,3,FALSE)),"",VLOOKUP($C94,Platos!$B$4:$D$15,3,FALSE))</f>
        <v/>
      </c>
      <c r="J94" s="14" t="str">
        <f t="shared" si="12"/>
        <v/>
      </c>
    </row>
    <row r="95" spans="1:10" customFormat="1" ht="18" hidden="1" customHeight="1" x14ac:dyDescent="0.3">
      <c r="A95" s="6">
        <f>A94</f>
        <v>8</v>
      </c>
      <c r="B95" s="6">
        <f t="shared" si="13"/>
        <v>2</v>
      </c>
      <c r="C95" s="3" t="str">
        <f t="shared" si="11"/>
        <v/>
      </c>
      <c r="D95" s="90"/>
      <c r="E95" s="90"/>
      <c r="F95" s="90"/>
      <c r="G95" s="90"/>
      <c r="H95" s="28"/>
      <c r="I95" s="7" t="str">
        <f>IF(ISERROR(VLOOKUP($C95,Platos!$B$4:$D$15,3,FALSE)),"",VLOOKUP($C95,Platos!$B$4:$D$15,3,FALSE))</f>
        <v/>
      </c>
      <c r="J95" s="8" t="str">
        <f t="shared" si="12"/>
        <v/>
      </c>
    </row>
    <row r="96" spans="1:10" customFormat="1" ht="18" hidden="1" customHeight="1" x14ac:dyDescent="0.3">
      <c r="A96" s="6">
        <f t="shared" ref="A96:A105" si="15">A95</f>
        <v>8</v>
      </c>
      <c r="B96" s="6">
        <f t="shared" si="13"/>
        <v>2</v>
      </c>
      <c r="C96" s="3" t="str">
        <f t="shared" si="11"/>
        <v/>
      </c>
      <c r="D96" s="90"/>
      <c r="E96" s="90"/>
      <c r="F96" s="90"/>
      <c r="G96" s="90"/>
      <c r="H96" s="28"/>
      <c r="I96" s="7" t="str">
        <f>IF(ISERROR(VLOOKUP($C96,Platos!$B$4:$D$15,3,FALSE)),"",VLOOKUP($C96,Platos!$B$4:$D$15,3,FALSE))</f>
        <v/>
      </c>
      <c r="J96" s="8" t="str">
        <f t="shared" si="12"/>
        <v/>
      </c>
    </row>
    <row r="97" spans="1:10" customFormat="1" ht="18" hidden="1" customHeight="1" x14ac:dyDescent="0.3">
      <c r="A97" s="6">
        <f t="shared" si="15"/>
        <v>8</v>
      </c>
      <c r="B97" s="6">
        <f t="shared" si="13"/>
        <v>2</v>
      </c>
      <c r="C97" s="3" t="str">
        <f t="shared" si="11"/>
        <v/>
      </c>
      <c r="D97" s="90"/>
      <c r="E97" s="90"/>
      <c r="F97" s="90"/>
      <c r="G97" s="90"/>
      <c r="H97" s="28"/>
      <c r="I97" s="7" t="str">
        <f>IF(ISERROR(VLOOKUP($C97,Platos!$B$4:$D$15,3,FALSE)),"",VLOOKUP($C97,Platos!$B$4:$D$15,3,FALSE))</f>
        <v/>
      </c>
      <c r="J97" s="8" t="str">
        <f t="shared" si="12"/>
        <v/>
      </c>
    </row>
    <row r="98" spans="1:10" customFormat="1" ht="18" hidden="1" customHeight="1" x14ac:dyDescent="0.3">
      <c r="A98" s="6">
        <f t="shared" si="15"/>
        <v>8</v>
      </c>
      <c r="B98" s="6">
        <f t="shared" si="13"/>
        <v>2</v>
      </c>
      <c r="C98" s="3" t="str">
        <f t="shared" si="11"/>
        <v/>
      </c>
      <c r="D98" s="90"/>
      <c r="E98" s="90"/>
      <c r="F98" s="90"/>
      <c r="G98" s="90"/>
      <c r="H98" s="28"/>
      <c r="I98" s="7" t="str">
        <f>IF(ISERROR(VLOOKUP($C98,Platos!$B$4:$D$15,3,FALSE)),"",VLOOKUP($C98,Platos!$B$4:$D$15,3,FALSE))</f>
        <v/>
      </c>
      <c r="J98" s="8" t="str">
        <f t="shared" si="12"/>
        <v/>
      </c>
    </row>
    <row r="99" spans="1:10" customFormat="1" ht="18" hidden="1" customHeight="1" x14ac:dyDescent="0.3">
      <c r="A99" s="6">
        <f t="shared" si="15"/>
        <v>8</v>
      </c>
      <c r="B99" s="6">
        <f t="shared" si="13"/>
        <v>2</v>
      </c>
      <c r="C99" s="3" t="str">
        <f t="shared" si="11"/>
        <v/>
      </c>
      <c r="D99" s="90"/>
      <c r="E99" s="90"/>
      <c r="F99" s="90"/>
      <c r="G99" s="90"/>
      <c r="H99" s="28"/>
      <c r="I99" s="7" t="str">
        <f>IF(ISERROR(VLOOKUP($C99,Platos!$B$4:$D$15,3,FALSE)),"",VLOOKUP($C99,Platos!$B$4:$D$15,3,FALSE))</f>
        <v/>
      </c>
      <c r="J99" s="8" t="str">
        <f t="shared" si="12"/>
        <v/>
      </c>
    </row>
    <row r="100" spans="1:10" customFormat="1" ht="18" hidden="1" customHeight="1" x14ac:dyDescent="0.3">
      <c r="A100" s="6">
        <f t="shared" si="15"/>
        <v>8</v>
      </c>
      <c r="B100" s="6">
        <f t="shared" si="13"/>
        <v>2</v>
      </c>
      <c r="C100" s="3" t="str">
        <f t="shared" si="11"/>
        <v/>
      </c>
      <c r="D100" s="90"/>
      <c r="E100" s="90"/>
      <c r="F100" s="90"/>
      <c r="G100" s="90"/>
      <c r="H100" s="28"/>
      <c r="I100" s="7" t="str">
        <f>IF(ISERROR(VLOOKUP($C100,Platos!$B$4:$D$15,3,FALSE)),"",VLOOKUP($C100,Platos!$B$4:$D$15,3,FALSE))</f>
        <v/>
      </c>
      <c r="J100" s="8" t="str">
        <f t="shared" si="12"/>
        <v/>
      </c>
    </row>
    <row r="101" spans="1:10" customFormat="1" ht="18" hidden="1" customHeight="1" x14ac:dyDescent="0.3">
      <c r="A101" s="6">
        <f t="shared" si="15"/>
        <v>8</v>
      </c>
      <c r="B101" s="6">
        <f t="shared" si="13"/>
        <v>2</v>
      </c>
      <c r="C101" s="3" t="str">
        <f t="shared" si="11"/>
        <v/>
      </c>
      <c r="D101" s="90"/>
      <c r="E101" s="90"/>
      <c r="F101" s="90"/>
      <c r="G101" s="90"/>
      <c r="H101" s="28"/>
      <c r="I101" s="7" t="str">
        <f>IF(ISERROR(VLOOKUP($C101,Platos!$B$4:$D$15,3,FALSE)),"",VLOOKUP($C101,Platos!$B$4:$D$15,3,FALSE))</f>
        <v/>
      </c>
      <c r="J101" s="8" t="str">
        <f t="shared" si="12"/>
        <v/>
      </c>
    </row>
    <row r="102" spans="1:10" customFormat="1" ht="18" hidden="1" customHeight="1" x14ac:dyDescent="0.3">
      <c r="A102" s="6">
        <f t="shared" si="15"/>
        <v>8</v>
      </c>
      <c r="B102" s="6">
        <f t="shared" si="13"/>
        <v>2</v>
      </c>
      <c r="C102" s="3" t="str">
        <f t="shared" si="11"/>
        <v/>
      </c>
      <c r="D102" s="90"/>
      <c r="E102" s="90"/>
      <c r="F102" s="90"/>
      <c r="G102" s="90"/>
      <c r="H102" s="28"/>
      <c r="I102" s="7" t="str">
        <f>IF(ISERROR(VLOOKUP($C102,Platos!$B$4:$D$15,3,FALSE)),"",VLOOKUP($C102,Platos!$B$4:$D$15,3,FALSE))</f>
        <v/>
      </c>
      <c r="J102" s="8" t="str">
        <f t="shared" si="12"/>
        <v/>
      </c>
    </row>
    <row r="103" spans="1:10" customFormat="1" ht="18" hidden="1" customHeight="1" x14ac:dyDescent="0.3">
      <c r="A103" s="6">
        <f t="shared" si="15"/>
        <v>8</v>
      </c>
      <c r="B103" s="6">
        <f t="shared" si="13"/>
        <v>2</v>
      </c>
      <c r="C103" s="3" t="str">
        <f t="shared" si="11"/>
        <v/>
      </c>
      <c r="D103" s="90"/>
      <c r="E103" s="90"/>
      <c r="F103" s="90"/>
      <c r="G103" s="90"/>
      <c r="H103" s="28"/>
      <c r="I103" s="7" t="str">
        <f>IF(ISERROR(VLOOKUP($C103,Platos!$B$4:$D$15,3,FALSE)),"",VLOOKUP($C103,Platos!$B$4:$D$15,3,FALSE))</f>
        <v/>
      </c>
      <c r="J103" s="8" t="str">
        <f t="shared" si="12"/>
        <v/>
      </c>
    </row>
    <row r="104" spans="1:10" customFormat="1" ht="18" hidden="1" customHeight="1" x14ac:dyDescent="0.3">
      <c r="A104" s="6">
        <f t="shared" si="15"/>
        <v>8</v>
      </c>
      <c r="B104" s="6">
        <f t="shared" si="13"/>
        <v>2</v>
      </c>
      <c r="C104" s="3" t="str">
        <f t="shared" si="11"/>
        <v/>
      </c>
      <c r="D104" s="90"/>
      <c r="E104" s="90"/>
      <c r="F104" s="90"/>
      <c r="G104" s="90"/>
      <c r="H104" s="28"/>
      <c r="I104" s="7" t="str">
        <f>IF(ISERROR(VLOOKUP($C104,Platos!$B$4:$D$15,3,FALSE)),"",VLOOKUP($C104,Platos!$B$4:$D$15,3,FALSE))</f>
        <v/>
      </c>
      <c r="J104" s="8" t="str">
        <f t="shared" si="12"/>
        <v/>
      </c>
    </row>
    <row r="105" spans="1:10" customFormat="1" ht="18" hidden="1" customHeight="1" thickBot="1" x14ac:dyDescent="0.3">
      <c r="A105" s="9">
        <f t="shared" si="15"/>
        <v>8</v>
      </c>
      <c r="B105" s="9">
        <f t="shared" si="13"/>
        <v>2</v>
      </c>
      <c r="C105" s="10" t="str">
        <f t="shared" si="11"/>
        <v/>
      </c>
      <c r="D105" s="100"/>
      <c r="E105" s="100"/>
      <c r="F105" s="100"/>
      <c r="G105" s="100"/>
      <c r="H105" s="29"/>
      <c r="I105" s="11" t="str">
        <f>IF(ISERROR(VLOOKUP($C105,Platos!$B$4:$D$15,3,FALSE)),"",VLOOKUP($C105,Platos!$B$4:$D$15,3,FALSE))</f>
        <v/>
      </c>
      <c r="J105" s="15" t="str">
        <f t="shared" si="12"/>
        <v/>
      </c>
    </row>
    <row r="106" spans="1:10" customFormat="1" ht="18" hidden="1" customHeight="1" x14ac:dyDescent="0.3">
      <c r="A106" s="2">
        <v>9</v>
      </c>
      <c r="B106" s="2">
        <f t="shared" si="13"/>
        <v>2</v>
      </c>
      <c r="C106" s="13" t="str">
        <f t="shared" ref="C106:C137" si="16">IF(ISERROR(MATCH(D106,Platos,0)),"",MATCH(D106,Platos,0))</f>
        <v/>
      </c>
      <c r="D106" s="101"/>
      <c r="E106" s="101"/>
      <c r="F106" s="101"/>
      <c r="G106" s="101"/>
      <c r="H106" s="27"/>
      <c r="I106" s="4" t="str">
        <f>IF(ISERROR(VLOOKUP($C106,Platos!$B$4:$D$15,3,FALSE)),"",VLOOKUP($C106,Platos!$B$4:$D$15,3,FALSE))</f>
        <v/>
      </c>
      <c r="J106" s="14" t="str">
        <f t="shared" ref="J106:J137" si="17">IF(ISERROR($H106*$I106),"",$H106*$I106)</f>
        <v/>
      </c>
    </row>
    <row r="107" spans="1:10" customFormat="1" ht="18" hidden="1" customHeight="1" x14ac:dyDescent="0.3">
      <c r="A107" s="6">
        <f>A106</f>
        <v>9</v>
      </c>
      <c r="B107" s="6">
        <f t="shared" si="13"/>
        <v>2</v>
      </c>
      <c r="C107" s="3" t="str">
        <f t="shared" si="16"/>
        <v/>
      </c>
      <c r="D107" s="90"/>
      <c r="E107" s="90"/>
      <c r="F107" s="90"/>
      <c r="G107" s="90"/>
      <c r="H107" s="28"/>
      <c r="I107" s="7" t="str">
        <f>IF(ISERROR(VLOOKUP($C107,Platos!$B$4:$D$15,3,FALSE)),"",VLOOKUP($C107,Platos!$B$4:$D$15,3,FALSE))</f>
        <v/>
      </c>
      <c r="J107" s="8" t="str">
        <f t="shared" si="17"/>
        <v/>
      </c>
    </row>
    <row r="108" spans="1:10" customFormat="1" ht="18" hidden="1" customHeight="1" x14ac:dyDescent="0.3">
      <c r="A108" s="6">
        <f t="shared" ref="A108:A117" si="18">A107</f>
        <v>9</v>
      </c>
      <c r="B108" s="6">
        <f t="shared" si="13"/>
        <v>2</v>
      </c>
      <c r="C108" s="3" t="str">
        <f t="shared" si="16"/>
        <v/>
      </c>
      <c r="D108" s="90"/>
      <c r="E108" s="90"/>
      <c r="F108" s="90"/>
      <c r="G108" s="90"/>
      <c r="H108" s="28"/>
      <c r="I108" s="7" t="str">
        <f>IF(ISERROR(VLOOKUP($C108,Platos!$B$4:$D$15,3,FALSE)),"",VLOOKUP($C108,Platos!$B$4:$D$15,3,FALSE))</f>
        <v/>
      </c>
      <c r="J108" s="8" t="str">
        <f t="shared" si="17"/>
        <v/>
      </c>
    </row>
    <row r="109" spans="1:10" customFormat="1" ht="18" hidden="1" customHeight="1" x14ac:dyDescent="0.3">
      <c r="A109" s="6">
        <f t="shared" si="18"/>
        <v>9</v>
      </c>
      <c r="B109" s="6">
        <f t="shared" si="13"/>
        <v>2</v>
      </c>
      <c r="C109" s="3" t="str">
        <f t="shared" si="16"/>
        <v/>
      </c>
      <c r="D109" s="90"/>
      <c r="E109" s="90"/>
      <c r="F109" s="90"/>
      <c r="G109" s="90"/>
      <c r="H109" s="28"/>
      <c r="I109" s="7" t="str">
        <f>IF(ISERROR(VLOOKUP($C109,Platos!$B$4:$D$15,3,FALSE)),"",VLOOKUP($C109,Platos!$B$4:$D$15,3,FALSE))</f>
        <v/>
      </c>
      <c r="J109" s="8" t="str">
        <f t="shared" si="17"/>
        <v/>
      </c>
    </row>
    <row r="110" spans="1:10" customFormat="1" ht="18" hidden="1" customHeight="1" x14ac:dyDescent="0.3">
      <c r="A110" s="6">
        <f t="shared" si="18"/>
        <v>9</v>
      </c>
      <c r="B110" s="6">
        <f t="shared" si="13"/>
        <v>2</v>
      </c>
      <c r="C110" s="3" t="str">
        <f t="shared" si="16"/>
        <v/>
      </c>
      <c r="D110" s="90"/>
      <c r="E110" s="90"/>
      <c r="F110" s="90"/>
      <c r="G110" s="90"/>
      <c r="H110" s="28"/>
      <c r="I110" s="7" t="str">
        <f>IF(ISERROR(VLOOKUP($C110,Platos!$B$4:$D$15,3,FALSE)),"",VLOOKUP($C110,Platos!$B$4:$D$15,3,FALSE))</f>
        <v/>
      </c>
      <c r="J110" s="8" t="str">
        <f t="shared" si="17"/>
        <v/>
      </c>
    </row>
    <row r="111" spans="1:10" customFormat="1" ht="18" hidden="1" customHeight="1" x14ac:dyDescent="0.3">
      <c r="A111" s="6">
        <f t="shared" si="18"/>
        <v>9</v>
      </c>
      <c r="B111" s="6">
        <f t="shared" si="13"/>
        <v>2</v>
      </c>
      <c r="C111" s="3" t="str">
        <f t="shared" si="16"/>
        <v/>
      </c>
      <c r="D111" s="90"/>
      <c r="E111" s="90"/>
      <c r="F111" s="90"/>
      <c r="G111" s="90"/>
      <c r="H111" s="28"/>
      <c r="I111" s="7" t="str">
        <f>IF(ISERROR(VLOOKUP($C111,Platos!$B$4:$D$15,3,FALSE)),"",VLOOKUP($C111,Platos!$B$4:$D$15,3,FALSE))</f>
        <v/>
      </c>
      <c r="J111" s="8" t="str">
        <f t="shared" si="17"/>
        <v/>
      </c>
    </row>
    <row r="112" spans="1:10" customFormat="1" ht="18" hidden="1" customHeight="1" x14ac:dyDescent="0.3">
      <c r="A112" s="6">
        <f t="shared" si="18"/>
        <v>9</v>
      </c>
      <c r="B112" s="6">
        <f t="shared" si="13"/>
        <v>2</v>
      </c>
      <c r="C112" s="3" t="str">
        <f t="shared" si="16"/>
        <v/>
      </c>
      <c r="D112" s="90"/>
      <c r="E112" s="90"/>
      <c r="F112" s="90"/>
      <c r="G112" s="90"/>
      <c r="H112" s="28"/>
      <c r="I112" s="7" t="str">
        <f>IF(ISERROR(VLOOKUP($C112,Platos!$B$4:$D$15,3,FALSE)),"",VLOOKUP($C112,Platos!$B$4:$D$15,3,FALSE))</f>
        <v/>
      </c>
      <c r="J112" s="8" t="str">
        <f t="shared" si="17"/>
        <v/>
      </c>
    </row>
    <row r="113" spans="1:10" customFormat="1" ht="18" hidden="1" customHeight="1" x14ac:dyDescent="0.3">
      <c r="A113" s="6">
        <f t="shared" si="18"/>
        <v>9</v>
      </c>
      <c r="B113" s="6">
        <f t="shared" si="13"/>
        <v>2</v>
      </c>
      <c r="C113" s="3" t="str">
        <f t="shared" si="16"/>
        <v/>
      </c>
      <c r="D113" s="90"/>
      <c r="E113" s="90"/>
      <c r="F113" s="90"/>
      <c r="G113" s="90"/>
      <c r="H113" s="28"/>
      <c r="I113" s="7" t="str">
        <f>IF(ISERROR(VLOOKUP($C113,Platos!$B$4:$D$15,3,FALSE)),"",VLOOKUP($C113,Platos!$B$4:$D$15,3,FALSE))</f>
        <v/>
      </c>
      <c r="J113" s="8" t="str">
        <f t="shared" si="17"/>
        <v/>
      </c>
    </row>
    <row r="114" spans="1:10" customFormat="1" ht="18" hidden="1" customHeight="1" x14ac:dyDescent="0.3">
      <c r="A114" s="6">
        <f t="shared" si="18"/>
        <v>9</v>
      </c>
      <c r="B114" s="6">
        <f t="shared" si="13"/>
        <v>2</v>
      </c>
      <c r="C114" s="3" t="str">
        <f t="shared" si="16"/>
        <v/>
      </c>
      <c r="D114" s="90"/>
      <c r="E114" s="90"/>
      <c r="F114" s="90"/>
      <c r="G114" s="90"/>
      <c r="H114" s="28"/>
      <c r="I114" s="7" t="str">
        <f>IF(ISERROR(VLOOKUP($C114,Platos!$B$4:$D$15,3,FALSE)),"",VLOOKUP($C114,Platos!$B$4:$D$15,3,FALSE))</f>
        <v/>
      </c>
      <c r="J114" s="8" t="str">
        <f t="shared" si="17"/>
        <v/>
      </c>
    </row>
    <row r="115" spans="1:10" customFormat="1" ht="18" hidden="1" customHeight="1" x14ac:dyDescent="0.3">
      <c r="A115" s="6">
        <f t="shared" si="18"/>
        <v>9</v>
      </c>
      <c r="B115" s="6">
        <f t="shared" si="13"/>
        <v>2</v>
      </c>
      <c r="C115" s="3" t="str">
        <f t="shared" si="16"/>
        <v/>
      </c>
      <c r="D115" s="90"/>
      <c r="E115" s="90"/>
      <c r="F115" s="90"/>
      <c r="G115" s="90"/>
      <c r="H115" s="28"/>
      <c r="I115" s="7" t="str">
        <f>IF(ISERROR(VLOOKUP($C115,Platos!$B$4:$D$15,3,FALSE)),"",VLOOKUP($C115,Platos!$B$4:$D$15,3,FALSE))</f>
        <v/>
      </c>
      <c r="J115" s="8" t="str">
        <f t="shared" si="17"/>
        <v/>
      </c>
    </row>
    <row r="116" spans="1:10" customFormat="1" ht="18" hidden="1" customHeight="1" x14ac:dyDescent="0.3">
      <c r="A116" s="6">
        <f t="shared" si="18"/>
        <v>9</v>
      </c>
      <c r="B116" s="6">
        <f t="shared" si="13"/>
        <v>2</v>
      </c>
      <c r="C116" s="3" t="str">
        <f t="shared" si="16"/>
        <v/>
      </c>
      <c r="D116" s="90"/>
      <c r="E116" s="90"/>
      <c r="F116" s="90"/>
      <c r="G116" s="90"/>
      <c r="H116" s="28"/>
      <c r="I116" s="7" t="str">
        <f>IF(ISERROR(VLOOKUP($C116,Platos!$B$4:$D$15,3,FALSE)),"",VLOOKUP($C116,Platos!$B$4:$D$15,3,FALSE))</f>
        <v/>
      </c>
      <c r="J116" s="8" t="str">
        <f t="shared" si="17"/>
        <v/>
      </c>
    </row>
    <row r="117" spans="1:10" customFormat="1" ht="18" hidden="1" customHeight="1" thickBot="1" x14ac:dyDescent="0.3">
      <c r="A117" s="9">
        <f t="shared" si="18"/>
        <v>9</v>
      </c>
      <c r="B117" s="9">
        <f t="shared" si="13"/>
        <v>2</v>
      </c>
      <c r="C117" s="10" t="str">
        <f t="shared" si="16"/>
        <v/>
      </c>
      <c r="D117" s="100"/>
      <c r="E117" s="100"/>
      <c r="F117" s="100"/>
      <c r="G117" s="100"/>
      <c r="H117" s="29"/>
      <c r="I117" s="11" t="str">
        <f>IF(ISERROR(VLOOKUP($C117,Platos!$B$4:$D$15,3,FALSE)),"",VLOOKUP($C117,Platos!$B$4:$D$15,3,FALSE))</f>
        <v/>
      </c>
      <c r="J117" s="15" t="str">
        <f t="shared" si="17"/>
        <v/>
      </c>
    </row>
    <row r="118" spans="1:10" customFormat="1" ht="18" hidden="1" customHeight="1" x14ac:dyDescent="0.3">
      <c r="A118" s="2">
        <v>10</v>
      </c>
      <c r="B118" s="2">
        <f t="shared" si="13"/>
        <v>2</v>
      </c>
      <c r="C118" s="13" t="str">
        <f t="shared" si="16"/>
        <v/>
      </c>
      <c r="D118" s="101"/>
      <c r="E118" s="101"/>
      <c r="F118" s="101"/>
      <c r="G118" s="101"/>
      <c r="H118" s="27"/>
      <c r="I118" s="4" t="str">
        <f>IF(ISERROR(VLOOKUP($C118,Platos!$B$4:$D$15,3,FALSE)),"",VLOOKUP($C118,Platos!$B$4:$D$15,3,FALSE))</f>
        <v/>
      </c>
      <c r="J118" s="14" t="str">
        <f t="shared" si="17"/>
        <v/>
      </c>
    </row>
    <row r="119" spans="1:10" customFormat="1" ht="18" hidden="1" customHeight="1" x14ac:dyDescent="0.3">
      <c r="A119" s="6">
        <f>A118</f>
        <v>10</v>
      </c>
      <c r="B119" s="6">
        <f t="shared" si="13"/>
        <v>2</v>
      </c>
      <c r="C119" s="3" t="str">
        <f t="shared" si="16"/>
        <v/>
      </c>
      <c r="D119" s="90"/>
      <c r="E119" s="90"/>
      <c r="F119" s="90"/>
      <c r="G119" s="90"/>
      <c r="H119" s="28"/>
      <c r="I119" s="7" t="str">
        <f>IF(ISERROR(VLOOKUP($C119,Platos!$B$4:$D$15,3,FALSE)),"",VLOOKUP($C119,Platos!$B$4:$D$15,3,FALSE))</f>
        <v/>
      </c>
      <c r="J119" s="8" t="str">
        <f t="shared" si="17"/>
        <v/>
      </c>
    </row>
    <row r="120" spans="1:10" customFormat="1" ht="18" hidden="1" customHeight="1" x14ac:dyDescent="0.3">
      <c r="A120" s="6">
        <f t="shared" ref="A120:A129" si="19">A119</f>
        <v>10</v>
      </c>
      <c r="B120" s="6">
        <f t="shared" si="13"/>
        <v>2</v>
      </c>
      <c r="C120" s="3" t="str">
        <f t="shared" si="16"/>
        <v/>
      </c>
      <c r="D120" s="90"/>
      <c r="E120" s="90"/>
      <c r="F120" s="90"/>
      <c r="G120" s="90"/>
      <c r="H120" s="28"/>
      <c r="I120" s="7" t="str">
        <f>IF(ISERROR(VLOOKUP($C120,Platos!$B$4:$D$15,3,FALSE)),"",VLOOKUP($C120,Platos!$B$4:$D$15,3,FALSE))</f>
        <v/>
      </c>
      <c r="J120" s="8" t="str">
        <f t="shared" si="17"/>
        <v/>
      </c>
    </row>
    <row r="121" spans="1:10" customFormat="1" ht="18" hidden="1" customHeight="1" x14ac:dyDescent="0.3">
      <c r="A121" s="6">
        <f t="shared" si="19"/>
        <v>10</v>
      </c>
      <c r="B121" s="6">
        <f t="shared" si="13"/>
        <v>2</v>
      </c>
      <c r="C121" s="3" t="str">
        <f t="shared" si="16"/>
        <v/>
      </c>
      <c r="D121" s="90"/>
      <c r="E121" s="90"/>
      <c r="F121" s="90"/>
      <c r="G121" s="90"/>
      <c r="H121" s="28"/>
      <c r="I121" s="7" t="str">
        <f>IF(ISERROR(VLOOKUP($C121,Platos!$B$4:$D$15,3,FALSE)),"",VLOOKUP($C121,Platos!$B$4:$D$15,3,FALSE))</f>
        <v/>
      </c>
      <c r="J121" s="8" t="str">
        <f t="shared" si="17"/>
        <v/>
      </c>
    </row>
    <row r="122" spans="1:10" customFormat="1" ht="18" hidden="1" customHeight="1" x14ac:dyDescent="0.3">
      <c r="A122" s="6">
        <f t="shared" si="19"/>
        <v>10</v>
      </c>
      <c r="B122" s="6">
        <f t="shared" si="13"/>
        <v>2</v>
      </c>
      <c r="C122" s="3" t="str">
        <f t="shared" si="16"/>
        <v/>
      </c>
      <c r="D122" s="90"/>
      <c r="E122" s="90"/>
      <c r="F122" s="90"/>
      <c r="G122" s="90"/>
      <c r="H122" s="28"/>
      <c r="I122" s="7" t="str">
        <f>IF(ISERROR(VLOOKUP($C122,Platos!$B$4:$D$15,3,FALSE)),"",VLOOKUP($C122,Platos!$B$4:$D$15,3,FALSE))</f>
        <v/>
      </c>
      <c r="J122" s="8" t="str">
        <f t="shared" si="17"/>
        <v/>
      </c>
    </row>
    <row r="123" spans="1:10" customFormat="1" ht="18" hidden="1" customHeight="1" x14ac:dyDescent="0.3">
      <c r="A123" s="6">
        <f t="shared" si="19"/>
        <v>10</v>
      </c>
      <c r="B123" s="6">
        <f t="shared" si="13"/>
        <v>2</v>
      </c>
      <c r="C123" s="3" t="str">
        <f t="shared" si="16"/>
        <v/>
      </c>
      <c r="D123" s="90"/>
      <c r="E123" s="90"/>
      <c r="F123" s="90"/>
      <c r="G123" s="90"/>
      <c r="H123" s="28"/>
      <c r="I123" s="7" t="str">
        <f>IF(ISERROR(VLOOKUP($C123,Platos!$B$4:$D$15,3,FALSE)),"",VLOOKUP($C123,Platos!$B$4:$D$15,3,FALSE))</f>
        <v/>
      </c>
      <c r="J123" s="8" t="str">
        <f t="shared" si="17"/>
        <v/>
      </c>
    </row>
    <row r="124" spans="1:10" customFormat="1" ht="18" hidden="1" customHeight="1" x14ac:dyDescent="0.3">
      <c r="A124" s="6">
        <f t="shared" si="19"/>
        <v>10</v>
      </c>
      <c r="B124" s="6">
        <f t="shared" si="13"/>
        <v>2</v>
      </c>
      <c r="C124" s="3" t="str">
        <f t="shared" si="16"/>
        <v/>
      </c>
      <c r="D124" s="90"/>
      <c r="E124" s="90"/>
      <c r="F124" s="90"/>
      <c r="G124" s="90"/>
      <c r="H124" s="28"/>
      <c r="I124" s="7" t="str">
        <f>IF(ISERROR(VLOOKUP($C124,Platos!$B$4:$D$15,3,FALSE)),"",VLOOKUP($C124,Platos!$B$4:$D$15,3,FALSE))</f>
        <v/>
      </c>
      <c r="J124" s="8" t="str">
        <f t="shared" si="17"/>
        <v/>
      </c>
    </row>
    <row r="125" spans="1:10" customFormat="1" ht="18" hidden="1" customHeight="1" x14ac:dyDescent="0.3">
      <c r="A125" s="6">
        <f t="shared" si="19"/>
        <v>10</v>
      </c>
      <c r="B125" s="6">
        <f t="shared" si="13"/>
        <v>2</v>
      </c>
      <c r="C125" s="3" t="str">
        <f t="shared" si="16"/>
        <v/>
      </c>
      <c r="D125" s="90"/>
      <c r="E125" s="90"/>
      <c r="F125" s="90"/>
      <c r="G125" s="90"/>
      <c r="H125" s="28"/>
      <c r="I125" s="7" t="str">
        <f>IF(ISERROR(VLOOKUP($C125,Platos!$B$4:$D$15,3,FALSE)),"",VLOOKUP($C125,Platos!$B$4:$D$15,3,FALSE))</f>
        <v/>
      </c>
      <c r="J125" s="8" t="str">
        <f t="shared" si="17"/>
        <v/>
      </c>
    </row>
    <row r="126" spans="1:10" customFormat="1" ht="18" hidden="1" customHeight="1" x14ac:dyDescent="0.3">
      <c r="A126" s="6">
        <f t="shared" si="19"/>
        <v>10</v>
      </c>
      <c r="B126" s="6">
        <f t="shared" si="13"/>
        <v>2</v>
      </c>
      <c r="C126" s="3" t="str">
        <f t="shared" si="16"/>
        <v/>
      </c>
      <c r="D126" s="90"/>
      <c r="E126" s="90"/>
      <c r="F126" s="90"/>
      <c r="G126" s="90"/>
      <c r="H126" s="28"/>
      <c r="I126" s="7" t="str">
        <f>IF(ISERROR(VLOOKUP($C126,Platos!$B$4:$D$15,3,FALSE)),"",VLOOKUP($C126,Platos!$B$4:$D$15,3,FALSE))</f>
        <v/>
      </c>
      <c r="J126" s="8" t="str">
        <f t="shared" si="17"/>
        <v/>
      </c>
    </row>
    <row r="127" spans="1:10" customFormat="1" ht="18" hidden="1" customHeight="1" x14ac:dyDescent="0.3">
      <c r="A127" s="6">
        <f t="shared" si="19"/>
        <v>10</v>
      </c>
      <c r="B127" s="6">
        <f t="shared" si="13"/>
        <v>2</v>
      </c>
      <c r="C127" s="3" t="str">
        <f t="shared" si="16"/>
        <v/>
      </c>
      <c r="D127" s="90"/>
      <c r="E127" s="90"/>
      <c r="F127" s="90"/>
      <c r="G127" s="90"/>
      <c r="H127" s="28"/>
      <c r="I127" s="7" t="str">
        <f>IF(ISERROR(VLOOKUP($C127,Platos!$B$4:$D$15,3,FALSE)),"",VLOOKUP($C127,Platos!$B$4:$D$15,3,FALSE))</f>
        <v/>
      </c>
      <c r="J127" s="8" t="str">
        <f t="shared" si="17"/>
        <v/>
      </c>
    </row>
    <row r="128" spans="1:10" customFormat="1" ht="18" hidden="1" customHeight="1" x14ac:dyDescent="0.3">
      <c r="A128" s="6">
        <f t="shared" si="19"/>
        <v>10</v>
      </c>
      <c r="B128" s="6">
        <f t="shared" si="13"/>
        <v>2</v>
      </c>
      <c r="C128" s="3" t="str">
        <f t="shared" si="16"/>
        <v/>
      </c>
      <c r="D128" s="90"/>
      <c r="E128" s="90"/>
      <c r="F128" s="90"/>
      <c r="G128" s="90"/>
      <c r="H128" s="28"/>
      <c r="I128" s="7" t="str">
        <f>IF(ISERROR(VLOOKUP($C128,Platos!$B$4:$D$15,3,FALSE)),"",VLOOKUP($C128,Platos!$B$4:$D$15,3,FALSE))</f>
        <v/>
      </c>
      <c r="J128" s="8" t="str">
        <f t="shared" si="17"/>
        <v/>
      </c>
    </row>
    <row r="129" spans="1:10" customFormat="1" ht="18" hidden="1" customHeight="1" thickBot="1" x14ac:dyDescent="0.3">
      <c r="A129" s="9">
        <f t="shared" si="19"/>
        <v>10</v>
      </c>
      <c r="B129" s="9">
        <f t="shared" si="13"/>
        <v>2</v>
      </c>
      <c r="C129" s="10" t="str">
        <f t="shared" si="16"/>
        <v/>
      </c>
      <c r="D129" s="100"/>
      <c r="E129" s="100"/>
      <c r="F129" s="100"/>
      <c r="G129" s="100"/>
      <c r="H129" s="29"/>
      <c r="I129" s="11" t="str">
        <f>IF(ISERROR(VLOOKUP($C129,Platos!$B$4:$D$15,3,FALSE)),"",VLOOKUP($C129,Platos!$B$4:$D$15,3,FALSE))</f>
        <v/>
      </c>
      <c r="J129" s="15" t="str">
        <f t="shared" si="17"/>
        <v/>
      </c>
    </row>
    <row r="130" spans="1:10" customFormat="1" ht="18" hidden="1" customHeight="1" x14ac:dyDescent="0.3">
      <c r="A130" s="2">
        <v>11</v>
      </c>
      <c r="B130" s="2">
        <f t="shared" si="13"/>
        <v>2</v>
      </c>
      <c r="C130" s="13" t="str">
        <f t="shared" si="16"/>
        <v/>
      </c>
      <c r="D130" s="101"/>
      <c r="E130" s="101"/>
      <c r="F130" s="101"/>
      <c r="G130" s="101"/>
      <c r="H130" s="27"/>
      <c r="I130" s="4" t="str">
        <f>IF(ISERROR(VLOOKUP($C130,Platos!$B$4:$D$15,3,FALSE)),"",VLOOKUP($C130,Platos!$B$4:$D$15,3,FALSE))</f>
        <v/>
      </c>
      <c r="J130" s="14" t="str">
        <f t="shared" si="17"/>
        <v/>
      </c>
    </row>
    <row r="131" spans="1:10" customFormat="1" ht="18" hidden="1" customHeight="1" x14ac:dyDescent="0.3">
      <c r="A131" s="6">
        <f>A130</f>
        <v>11</v>
      </c>
      <c r="B131" s="6">
        <f t="shared" si="13"/>
        <v>2</v>
      </c>
      <c r="C131" s="3" t="str">
        <f t="shared" si="16"/>
        <v/>
      </c>
      <c r="D131" s="90"/>
      <c r="E131" s="90"/>
      <c r="F131" s="90"/>
      <c r="G131" s="90"/>
      <c r="H131" s="28"/>
      <c r="I131" s="7" t="str">
        <f>IF(ISERROR(VLOOKUP($C131,Platos!$B$4:$D$15,3,FALSE)),"",VLOOKUP($C131,Platos!$B$4:$D$15,3,FALSE))</f>
        <v/>
      </c>
      <c r="J131" s="8" t="str">
        <f t="shared" si="17"/>
        <v/>
      </c>
    </row>
    <row r="132" spans="1:10" customFormat="1" ht="18" hidden="1" customHeight="1" x14ac:dyDescent="0.3">
      <c r="A132" s="6">
        <f t="shared" ref="A132:A141" si="20">A131</f>
        <v>11</v>
      </c>
      <c r="B132" s="6">
        <f t="shared" si="13"/>
        <v>2</v>
      </c>
      <c r="C132" s="3" t="str">
        <f t="shared" si="16"/>
        <v/>
      </c>
      <c r="D132" s="90"/>
      <c r="E132" s="90"/>
      <c r="F132" s="90"/>
      <c r="G132" s="90"/>
      <c r="H132" s="28"/>
      <c r="I132" s="7" t="str">
        <f>IF(ISERROR(VLOOKUP($C132,Platos!$B$4:$D$15,3,FALSE)),"",VLOOKUP($C132,Platos!$B$4:$D$15,3,FALSE))</f>
        <v/>
      </c>
      <c r="J132" s="8" t="str">
        <f t="shared" si="17"/>
        <v/>
      </c>
    </row>
    <row r="133" spans="1:10" customFormat="1" ht="18" hidden="1" customHeight="1" x14ac:dyDescent="0.3">
      <c r="A133" s="6">
        <f t="shared" si="20"/>
        <v>11</v>
      </c>
      <c r="B133" s="6">
        <f t="shared" si="13"/>
        <v>2</v>
      </c>
      <c r="C133" s="3" t="str">
        <f t="shared" si="16"/>
        <v/>
      </c>
      <c r="D133" s="90"/>
      <c r="E133" s="90"/>
      <c r="F133" s="90"/>
      <c r="G133" s="90"/>
      <c r="H133" s="28"/>
      <c r="I133" s="7" t="str">
        <f>IF(ISERROR(VLOOKUP($C133,Platos!$B$4:$D$15,3,FALSE)),"",VLOOKUP($C133,Platos!$B$4:$D$15,3,FALSE))</f>
        <v/>
      </c>
      <c r="J133" s="8" t="str">
        <f t="shared" si="17"/>
        <v/>
      </c>
    </row>
    <row r="134" spans="1:10" customFormat="1" ht="18" hidden="1" customHeight="1" x14ac:dyDescent="0.3">
      <c r="A134" s="6">
        <f t="shared" si="20"/>
        <v>11</v>
      </c>
      <c r="B134" s="6">
        <f t="shared" si="13"/>
        <v>2</v>
      </c>
      <c r="C134" s="3" t="str">
        <f t="shared" si="16"/>
        <v/>
      </c>
      <c r="D134" s="90"/>
      <c r="E134" s="90"/>
      <c r="F134" s="90"/>
      <c r="G134" s="90"/>
      <c r="H134" s="28"/>
      <c r="I134" s="7" t="str">
        <f>IF(ISERROR(VLOOKUP($C134,Platos!$B$4:$D$15,3,FALSE)),"",VLOOKUP($C134,Platos!$B$4:$D$15,3,FALSE))</f>
        <v/>
      </c>
      <c r="J134" s="8" t="str">
        <f t="shared" si="17"/>
        <v/>
      </c>
    </row>
    <row r="135" spans="1:10" customFormat="1" ht="18" hidden="1" customHeight="1" x14ac:dyDescent="0.3">
      <c r="A135" s="6">
        <f t="shared" si="20"/>
        <v>11</v>
      </c>
      <c r="B135" s="6">
        <f t="shared" si="13"/>
        <v>2</v>
      </c>
      <c r="C135" s="3" t="str">
        <f t="shared" si="16"/>
        <v/>
      </c>
      <c r="D135" s="90"/>
      <c r="E135" s="90"/>
      <c r="F135" s="90"/>
      <c r="G135" s="90"/>
      <c r="H135" s="28"/>
      <c r="I135" s="7" t="str">
        <f>IF(ISERROR(VLOOKUP($C135,Platos!$B$4:$D$15,3,FALSE)),"",VLOOKUP($C135,Platos!$B$4:$D$15,3,FALSE))</f>
        <v/>
      </c>
      <c r="J135" s="8" t="str">
        <f t="shared" si="17"/>
        <v/>
      </c>
    </row>
    <row r="136" spans="1:10" customFormat="1" ht="18" hidden="1" customHeight="1" x14ac:dyDescent="0.3">
      <c r="A136" s="6">
        <f t="shared" si="20"/>
        <v>11</v>
      </c>
      <c r="B136" s="6">
        <f t="shared" si="13"/>
        <v>2</v>
      </c>
      <c r="C136" s="3" t="str">
        <f t="shared" si="16"/>
        <v/>
      </c>
      <c r="D136" s="90"/>
      <c r="E136" s="90"/>
      <c r="F136" s="90"/>
      <c r="G136" s="90"/>
      <c r="H136" s="28"/>
      <c r="I136" s="7" t="str">
        <f>IF(ISERROR(VLOOKUP($C136,Platos!$B$4:$D$15,3,FALSE)),"",VLOOKUP($C136,Platos!$B$4:$D$15,3,FALSE))</f>
        <v/>
      </c>
      <c r="J136" s="8" t="str">
        <f t="shared" si="17"/>
        <v/>
      </c>
    </row>
    <row r="137" spans="1:10" customFormat="1" ht="18" hidden="1" customHeight="1" x14ac:dyDescent="0.3">
      <c r="A137" s="6">
        <f t="shared" si="20"/>
        <v>11</v>
      </c>
      <c r="B137" s="6">
        <f t="shared" si="13"/>
        <v>2</v>
      </c>
      <c r="C137" s="3" t="str">
        <f t="shared" si="16"/>
        <v/>
      </c>
      <c r="D137" s="90"/>
      <c r="E137" s="90"/>
      <c r="F137" s="90"/>
      <c r="G137" s="90"/>
      <c r="H137" s="28"/>
      <c r="I137" s="7" t="str">
        <f>IF(ISERROR(VLOOKUP($C137,Platos!$B$4:$D$15,3,FALSE)),"",VLOOKUP($C137,Platos!$B$4:$D$15,3,FALSE))</f>
        <v/>
      </c>
      <c r="J137" s="8" t="str">
        <f t="shared" si="17"/>
        <v/>
      </c>
    </row>
    <row r="138" spans="1:10" customFormat="1" ht="18" hidden="1" customHeight="1" x14ac:dyDescent="0.3">
      <c r="A138" s="6">
        <f t="shared" si="20"/>
        <v>11</v>
      </c>
      <c r="B138" s="6">
        <f t="shared" si="13"/>
        <v>2</v>
      </c>
      <c r="C138" s="3" t="str">
        <f t="shared" ref="C138:C153" si="21">IF(ISERROR(MATCH(D138,Platos,0)),"",MATCH(D138,Platos,0))</f>
        <v/>
      </c>
      <c r="D138" s="90"/>
      <c r="E138" s="90"/>
      <c r="F138" s="90"/>
      <c r="G138" s="90"/>
      <c r="H138" s="28"/>
      <c r="I138" s="7" t="str">
        <f>IF(ISERROR(VLOOKUP($C138,Platos!$B$4:$D$15,3,FALSE)),"",VLOOKUP($C138,Platos!$B$4:$D$15,3,FALSE))</f>
        <v/>
      </c>
      <c r="J138" s="8" t="str">
        <f t="shared" ref="J138:J153" si="22">IF(ISERROR($H138*$I138),"",$H138*$I138)</f>
        <v/>
      </c>
    </row>
    <row r="139" spans="1:10" customFormat="1" ht="18" hidden="1" customHeight="1" x14ac:dyDescent="0.3">
      <c r="A139" s="6">
        <f t="shared" si="20"/>
        <v>11</v>
      </c>
      <c r="B139" s="6">
        <f t="shared" si="13"/>
        <v>2</v>
      </c>
      <c r="C139" s="3" t="str">
        <f t="shared" si="21"/>
        <v/>
      </c>
      <c r="D139" s="90"/>
      <c r="E139" s="90"/>
      <c r="F139" s="90"/>
      <c r="G139" s="90"/>
      <c r="H139" s="28"/>
      <c r="I139" s="7" t="str">
        <f>IF(ISERROR(VLOOKUP($C139,Platos!$B$4:$D$15,3,FALSE)),"",VLOOKUP($C139,Platos!$B$4:$D$15,3,FALSE))</f>
        <v/>
      </c>
      <c r="J139" s="8" t="str">
        <f t="shared" si="22"/>
        <v/>
      </c>
    </row>
    <row r="140" spans="1:10" customFormat="1" ht="18" hidden="1" customHeight="1" x14ac:dyDescent="0.3">
      <c r="A140" s="6">
        <f t="shared" si="20"/>
        <v>11</v>
      </c>
      <c r="B140" s="6">
        <f t="shared" ref="B140:B153" si="23">B139</f>
        <v>2</v>
      </c>
      <c r="C140" s="3" t="str">
        <f t="shared" si="21"/>
        <v/>
      </c>
      <c r="D140" s="90"/>
      <c r="E140" s="90"/>
      <c r="F140" s="90"/>
      <c r="G140" s="90"/>
      <c r="H140" s="28"/>
      <c r="I140" s="7" t="str">
        <f>IF(ISERROR(VLOOKUP($C140,Platos!$B$4:$D$15,3,FALSE)),"",VLOOKUP($C140,Platos!$B$4:$D$15,3,FALSE))</f>
        <v/>
      </c>
      <c r="J140" s="8" t="str">
        <f t="shared" si="22"/>
        <v/>
      </c>
    </row>
    <row r="141" spans="1:10" customFormat="1" ht="18" hidden="1" customHeight="1" thickBot="1" x14ac:dyDescent="0.3">
      <c r="A141" s="9">
        <f t="shared" si="20"/>
        <v>11</v>
      </c>
      <c r="B141" s="9">
        <f t="shared" si="23"/>
        <v>2</v>
      </c>
      <c r="C141" s="10" t="str">
        <f t="shared" si="21"/>
        <v/>
      </c>
      <c r="D141" s="100"/>
      <c r="E141" s="100"/>
      <c r="F141" s="100"/>
      <c r="G141" s="100"/>
      <c r="H141" s="29"/>
      <c r="I141" s="11" t="str">
        <f>IF(ISERROR(VLOOKUP($C141,Platos!$B$4:$D$15,3,FALSE)),"",VLOOKUP($C141,Platos!$B$4:$D$15,3,FALSE))</f>
        <v/>
      </c>
      <c r="J141" s="15" t="str">
        <f t="shared" si="22"/>
        <v/>
      </c>
    </row>
    <row r="142" spans="1:10" customFormat="1" ht="18" hidden="1" customHeight="1" x14ac:dyDescent="0.3">
      <c r="A142" s="2">
        <v>12</v>
      </c>
      <c r="B142" s="2">
        <f t="shared" si="23"/>
        <v>2</v>
      </c>
      <c r="C142" s="13" t="str">
        <f t="shared" si="21"/>
        <v/>
      </c>
      <c r="D142" s="101"/>
      <c r="E142" s="101"/>
      <c r="F142" s="101"/>
      <c r="G142" s="101"/>
      <c r="H142" s="27"/>
      <c r="I142" s="4" t="str">
        <f>IF(ISERROR(VLOOKUP($C142,Platos!$B$4:$D$15,3,FALSE)),"",VLOOKUP($C142,Platos!$B$4:$D$15,3,FALSE))</f>
        <v/>
      </c>
      <c r="J142" s="14" t="str">
        <f t="shared" si="22"/>
        <v/>
      </c>
    </row>
    <row r="143" spans="1:10" customFormat="1" ht="18" hidden="1" customHeight="1" x14ac:dyDescent="0.3">
      <c r="A143" s="6">
        <f>A142</f>
        <v>12</v>
      </c>
      <c r="B143" s="6">
        <f t="shared" si="23"/>
        <v>2</v>
      </c>
      <c r="C143" s="3" t="str">
        <f t="shared" si="21"/>
        <v/>
      </c>
      <c r="D143" s="90"/>
      <c r="E143" s="90"/>
      <c r="F143" s="90"/>
      <c r="G143" s="90"/>
      <c r="H143" s="28"/>
      <c r="I143" s="7" t="str">
        <f>IF(ISERROR(VLOOKUP($C143,Platos!$B$4:$D$15,3,FALSE)),"",VLOOKUP($C143,Platos!$B$4:$D$15,3,FALSE))</f>
        <v/>
      </c>
      <c r="J143" s="8" t="str">
        <f t="shared" si="22"/>
        <v/>
      </c>
    </row>
    <row r="144" spans="1:10" customFormat="1" ht="18" hidden="1" customHeight="1" x14ac:dyDescent="0.3">
      <c r="A144" s="6">
        <f t="shared" ref="A144:A153" si="24">A143</f>
        <v>12</v>
      </c>
      <c r="B144" s="6">
        <f t="shared" si="23"/>
        <v>2</v>
      </c>
      <c r="C144" s="3" t="str">
        <f t="shared" si="21"/>
        <v/>
      </c>
      <c r="D144" s="90"/>
      <c r="E144" s="90"/>
      <c r="F144" s="90"/>
      <c r="G144" s="90"/>
      <c r="H144" s="28"/>
      <c r="I144" s="7" t="str">
        <f>IF(ISERROR(VLOOKUP($C144,Platos!$B$4:$D$15,3,FALSE)),"",VLOOKUP($C144,Platos!$B$4:$D$15,3,FALSE))</f>
        <v/>
      </c>
      <c r="J144" s="8" t="str">
        <f t="shared" si="22"/>
        <v/>
      </c>
    </row>
    <row r="145" spans="1:10" customFormat="1" ht="18" hidden="1" customHeight="1" x14ac:dyDescent="0.3">
      <c r="A145" s="6">
        <f t="shared" si="24"/>
        <v>12</v>
      </c>
      <c r="B145" s="6">
        <f t="shared" si="23"/>
        <v>2</v>
      </c>
      <c r="C145" s="3" t="str">
        <f t="shared" si="21"/>
        <v/>
      </c>
      <c r="D145" s="90"/>
      <c r="E145" s="90"/>
      <c r="F145" s="90"/>
      <c r="G145" s="90"/>
      <c r="H145" s="28"/>
      <c r="I145" s="7" t="str">
        <f>IF(ISERROR(VLOOKUP($C145,Platos!$B$4:$D$15,3,FALSE)),"",VLOOKUP($C145,Platos!$B$4:$D$15,3,FALSE))</f>
        <v/>
      </c>
      <c r="J145" s="8" t="str">
        <f t="shared" si="22"/>
        <v/>
      </c>
    </row>
    <row r="146" spans="1:10" customFormat="1" ht="18" hidden="1" customHeight="1" x14ac:dyDescent="0.3">
      <c r="A146" s="6">
        <f t="shared" si="24"/>
        <v>12</v>
      </c>
      <c r="B146" s="6">
        <f t="shared" si="23"/>
        <v>2</v>
      </c>
      <c r="C146" s="3" t="str">
        <f t="shared" si="21"/>
        <v/>
      </c>
      <c r="D146" s="90"/>
      <c r="E146" s="90"/>
      <c r="F146" s="90"/>
      <c r="G146" s="90"/>
      <c r="H146" s="28"/>
      <c r="I146" s="7" t="str">
        <f>IF(ISERROR(VLOOKUP($C146,Platos!$B$4:$D$15,3,FALSE)),"",VLOOKUP($C146,Platos!$B$4:$D$15,3,FALSE))</f>
        <v/>
      </c>
      <c r="J146" s="8" t="str">
        <f t="shared" si="22"/>
        <v/>
      </c>
    </row>
    <row r="147" spans="1:10" customFormat="1" ht="18" hidden="1" customHeight="1" x14ac:dyDescent="0.3">
      <c r="A147" s="6">
        <f t="shared" si="24"/>
        <v>12</v>
      </c>
      <c r="B147" s="6">
        <f t="shared" si="23"/>
        <v>2</v>
      </c>
      <c r="C147" s="3" t="str">
        <f t="shared" si="21"/>
        <v/>
      </c>
      <c r="D147" s="90"/>
      <c r="E147" s="90"/>
      <c r="F147" s="90"/>
      <c r="G147" s="90"/>
      <c r="H147" s="28"/>
      <c r="I147" s="7" t="str">
        <f>IF(ISERROR(VLOOKUP($C147,Platos!$B$4:$D$15,3,FALSE)),"",VLOOKUP($C147,Platos!$B$4:$D$15,3,FALSE))</f>
        <v/>
      </c>
      <c r="J147" s="8" t="str">
        <f t="shared" si="22"/>
        <v/>
      </c>
    </row>
    <row r="148" spans="1:10" customFormat="1" ht="18" hidden="1" customHeight="1" x14ac:dyDescent="0.3">
      <c r="A148" s="6">
        <f t="shared" si="24"/>
        <v>12</v>
      </c>
      <c r="B148" s="6">
        <f t="shared" si="23"/>
        <v>2</v>
      </c>
      <c r="C148" s="3" t="str">
        <f t="shared" si="21"/>
        <v/>
      </c>
      <c r="D148" s="90"/>
      <c r="E148" s="90"/>
      <c r="F148" s="90"/>
      <c r="G148" s="90"/>
      <c r="H148" s="28"/>
      <c r="I148" s="7" t="str">
        <f>IF(ISERROR(VLOOKUP($C148,Platos!$B$4:$D$15,3,FALSE)),"",VLOOKUP($C148,Platos!$B$4:$D$15,3,FALSE))</f>
        <v/>
      </c>
      <c r="J148" s="8" t="str">
        <f t="shared" si="22"/>
        <v/>
      </c>
    </row>
    <row r="149" spans="1:10" customFormat="1" ht="18" hidden="1" customHeight="1" x14ac:dyDescent="0.3">
      <c r="A149" s="6">
        <f t="shared" si="24"/>
        <v>12</v>
      </c>
      <c r="B149" s="6">
        <f t="shared" si="23"/>
        <v>2</v>
      </c>
      <c r="C149" s="3" t="str">
        <f t="shared" si="21"/>
        <v/>
      </c>
      <c r="D149" s="90"/>
      <c r="E149" s="90"/>
      <c r="F149" s="90"/>
      <c r="G149" s="90"/>
      <c r="H149" s="28"/>
      <c r="I149" s="7" t="str">
        <f>IF(ISERROR(VLOOKUP($C149,Platos!$B$4:$D$15,3,FALSE)),"",VLOOKUP($C149,Platos!$B$4:$D$15,3,FALSE))</f>
        <v/>
      </c>
      <c r="J149" s="8" t="str">
        <f t="shared" si="22"/>
        <v/>
      </c>
    </row>
    <row r="150" spans="1:10" customFormat="1" ht="18" hidden="1" customHeight="1" x14ac:dyDescent="0.3">
      <c r="A150" s="6">
        <f t="shared" si="24"/>
        <v>12</v>
      </c>
      <c r="B150" s="6">
        <f t="shared" si="23"/>
        <v>2</v>
      </c>
      <c r="C150" s="3" t="str">
        <f t="shared" si="21"/>
        <v/>
      </c>
      <c r="D150" s="90"/>
      <c r="E150" s="90"/>
      <c r="F150" s="90"/>
      <c r="G150" s="90"/>
      <c r="H150" s="28"/>
      <c r="I150" s="7" t="str">
        <f>IF(ISERROR(VLOOKUP($C150,Platos!$B$4:$D$15,3,FALSE)),"",VLOOKUP($C150,Platos!$B$4:$D$15,3,FALSE))</f>
        <v/>
      </c>
      <c r="J150" s="8" t="str">
        <f t="shared" si="22"/>
        <v/>
      </c>
    </row>
    <row r="151" spans="1:10" customFormat="1" ht="18" hidden="1" customHeight="1" x14ac:dyDescent="0.3">
      <c r="A151" s="6">
        <f t="shared" si="24"/>
        <v>12</v>
      </c>
      <c r="B151" s="6">
        <f t="shared" si="23"/>
        <v>2</v>
      </c>
      <c r="C151" s="3" t="str">
        <f t="shared" si="21"/>
        <v/>
      </c>
      <c r="D151" s="90"/>
      <c r="E151" s="90"/>
      <c r="F151" s="90"/>
      <c r="G151" s="90"/>
      <c r="H151" s="28"/>
      <c r="I151" s="7" t="str">
        <f>IF(ISERROR(VLOOKUP($C151,Platos!$B$4:$D$15,3,FALSE)),"",VLOOKUP($C151,Platos!$B$4:$D$15,3,FALSE))</f>
        <v/>
      </c>
      <c r="J151" s="8" t="str">
        <f t="shared" si="22"/>
        <v/>
      </c>
    </row>
    <row r="152" spans="1:10" customFormat="1" ht="18" hidden="1" customHeight="1" x14ac:dyDescent="0.3">
      <c r="A152" s="6">
        <f t="shared" si="24"/>
        <v>12</v>
      </c>
      <c r="B152" s="6">
        <f t="shared" si="23"/>
        <v>2</v>
      </c>
      <c r="C152" s="3" t="str">
        <f t="shared" si="21"/>
        <v/>
      </c>
      <c r="D152" s="90"/>
      <c r="E152" s="90"/>
      <c r="F152" s="90"/>
      <c r="G152" s="90"/>
      <c r="H152" s="28"/>
      <c r="I152" s="7" t="str">
        <f>IF(ISERROR(VLOOKUP($C152,Platos!$B$4:$D$15,3,FALSE)),"",VLOOKUP($C152,Platos!$B$4:$D$15,3,FALSE))</f>
        <v/>
      </c>
      <c r="J152" s="8" t="str">
        <f t="shared" si="22"/>
        <v/>
      </c>
    </row>
    <row r="153" spans="1:10" customFormat="1" ht="18" hidden="1" customHeight="1" thickBot="1" x14ac:dyDescent="0.3">
      <c r="A153" s="6">
        <f t="shared" si="24"/>
        <v>12</v>
      </c>
      <c r="B153" s="6">
        <f t="shared" si="23"/>
        <v>2</v>
      </c>
      <c r="C153" s="39" t="str">
        <f t="shared" si="21"/>
        <v/>
      </c>
      <c r="D153" s="102"/>
      <c r="E153" s="102"/>
      <c r="F153" s="102"/>
      <c r="G153" s="102"/>
      <c r="H153" s="37"/>
      <c r="I153" s="38" t="str">
        <f>IF(ISERROR(VLOOKUP($C153,Platos!$B$4:$D$15,3,FALSE)),"",VLOOKUP($C153,Platos!$B$4:$D$15,3,FALSE))</f>
        <v/>
      </c>
      <c r="J153" s="36" t="str">
        <f t="shared" si="22"/>
        <v/>
      </c>
    </row>
    <row r="154" spans="1:10" ht="19.5" thickBot="1" x14ac:dyDescent="0.35">
      <c r="A154" s="60"/>
      <c r="B154" s="61"/>
      <c r="C154" s="62"/>
      <c r="D154" s="62"/>
      <c r="E154" s="62"/>
      <c r="F154" s="62"/>
      <c r="G154" s="62"/>
      <c r="H154" s="63"/>
      <c r="I154" s="52" t="s">
        <v>31</v>
      </c>
      <c r="J154" s="53">
        <f>SUBTOTAL(9,J10:J153)</f>
        <v>0</v>
      </c>
    </row>
    <row r="155" spans="1:10" x14ac:dyDescent="0.25">
      <c r="A155" s="12"/>
      <c r="B155" s="12"/>
      <c r="C155" s="12"/>
      <c r="D155" s="12"/>
      <c r="E155" s="12"/>
      <c r="F155" s="12"/>
      <c r="G155" s="12"/>
      <c r="H155" s="12"/>
    </row>
    <row r="156" spans="1:10" x14ac:dyDescent="0.25">
      <c r="A156" s="12"/>
      <c r="B156" s="12"/>
      <c r="C156" s="12"/>
      <c r="D156" s="12"/>
      <c r="E156" s="12"/>
      <c r="F156" s="12"/>
      <c r="G156" s="12"/>
      <c r="H156" s="12"/>
    </row>
  </sheetData>
  <protectedRanges>
    <protectedRange password="CF7A" sqref="C3:H3 C5:H5 D10:H153" name="Rango1"/>
  </protectedRanges>
  <autoFilter ref="A9:J153">
    <filterColumn colId="0">
      <filters>
        <filter val="1"/>
      </filters>
    </filterColumn>
    <filterColumn colId="3" showButton="0"/>
    <filterColumn colId="4" showButton="0"/>
    <filterColumn colId="5" showButton="0"/>
  </autoFilter>
  <mergeCells count="154">
    <mergeCell ref="D121:G121"/>
    <mergeCell ref="D122:G122"/>
    <mergeCell ref="D123:G123"/>
    <mergeCell ref="D124:G124"/>
    <mergeCell ref="D125:G125"/>
    <mergeCell ref="D126:G126"/>
    <mergeCell ref="D127:G127"/>
    <mergeCell ref="D128:G128"/>
    <mergeCell ref="D129:G129"/>
    <mergeCell ref="D153:G153"/>
    <mergeCell ref="D147:G147"/>
    <mergeCell ref="D148:G148"/>
    <mergeCell ref="D149:G149"/>
    <mergeCell ref="D130:G130"/>
    <mergeCell ref="D131:G131"/>
    <mergeCell ref="D132:G132"/>
    <mergeCell ref="D133:G133"/>
    <mergeCell ref="D134:G134"/>
    <mergeCell ref="D135:G135"/>
    <mergeCell ref="D136:G136"/>
    <mergeCell ref="D150:G150"/>
    <mergeCell ref="D151:G151"/>
    <mergeCell ref="D137:G137"/>
    <mergeCell ref="D138:G138"/>
    <mergeCell ref="D139:G139"/>
    <mergeCell ref="D140:G140"/>
    <mergeCell ref="D141:G141"/>
    <mergeCell ref="D142:G142"/>
    <mergeCell ref="D152:G152"/>
    <mergeCell ref="D143:G143"/>
    <mergeCell ref="D144:G144"/>
    <mergeCell ref="D145:G145"/>
    <mergeCell ref="D146:G146"/>
    <mergeCell ref="D101:G101"/>
    <mergeCell ref="D102:G102"/>
    <mergeCell ref="D120:G120"/>
    <mergeCell ref="D103:G103"/>
    <mergeCell ref="D104:G104"/>
    <mergeCell ref="D105:G105"/>
    <mergeCell ref="D106:G106"/>
    <mergeCell ref="D107:G107"/>
    <mergeCell ref="D108:G108"/>
    <mergeCell ref="D109:G109"/>
    <mergeCell ref="D110:G110"/>
    <mergeCell ref="D111:G111"/>
    <mergeCell ref="D112:G112"/>
    <mergeCell ref="D113:G113"/>
    <mergeCell ref="D114:G114"/>
    <mergeCell ref="D115:G115"/>
    <mergeCell ref="D116:G116"/>
    <mergeCell ref="D117:G117"/>
    <mergeCell ref="D118:G118"/>
    <mergeCell ref="D119:G119"/>
    <mergeCell ref="D92:G92"/>
    <mergeCell ref="D93:G93"/>
    <mergeCell ref="D94:G94"/>
    <mergeCell ref="D95:G95"/>
    <mergeCell ref="D96:G96"/>
    <mergeCell ref="D97:G97"/>
    <mergeCell ref="D98:G98"/>
    <mergeCell ref="D99:G99"/>
    <mergeCell ref="D100:G100"/>
    <mergeCell ref="D83:G83"/>
    <mergeCell ref="D84:G84"/>
    <mergeCell ref="D85:G85"/>
    <mergeCell ref="D86:G86"/>
    <mergeCell ref="D87:G87"/>
    <mergeCell ref="D88:G88"/>
    <mergeCell ref="D89:G89"/>
    <mergeCell ref="D90:G90"/>
    <mergeCell ref="D91:G91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65:G65"/>
    <mergeCell ref="D66:G66"/>
    <mergeCell ref="D67:G67"/>
    <mergeCell ref="D68:G68"/>
    <mergeCell ref="D69:G69"/>
    <mergeCell ref="D70:G70"/>
    <mergeCell ref="D71:G71"/>
    <mergeCell ref="D72:G72"/>
    <mergeCell ref="D73:G73"/>
    <mergeCell ref="D56:G56"/>
    <mergeCell ref="D57:G57"/>
    <mergeCell ref="D58:G58"/>
    <mergeCell ref="D59:G59"/>
    <mergeCell ref="D60:G60"/>
    <mergeCell ref="D61:G61"/>
    <mergeCell ref="D62:G62"/>
    <mergeCell ref="D63:G63"/>
    <mergeCell ref="D64:G64"/>
    <mergeCell ref="D47:G47"/>
    <mergeCell ref="D48:G48"/>
    <mergeCell ref="D49:G49"/>
    <mergeCell ref="D50:G50"/>
    <mergeCell ref="D51:G51"/>
    <mergeCell ref="D52:G52"/>
    <mergeCell ref="D53:G53"/>
    <mergeCell ref="D54:G54"/>
    <mergeCell ref="D55:G55"/>
    <mergeCell ref="D38:G38"/>
    <mergeCell ref="D39:G39"/>
    <mergeCell ref="D40:G40"/>
    <mergeCell ref="D41:G41"/>
    <mergeCell ref="D42:G42"/>
    <mergeCell ref="D43:G43"/>
    <mergeCell ref="D44:G44"/>
    <mergeCell ref="D45:G45"/>
    <mergeCell ref="D46:G46"/>
    <mergeCell ref="D29:G29"/>
    <mergeCell ref="D30:G30"/>
    <mergeCell ref="D31:G31"/>
    <mergeCell ref="D32:G32"/>
    <mergeCell ref="D33:G33"/>
    <mergeCell ref="D34:G34"/>
    <mergeCell ref="D35:G35"/>
    <mergeCell ref="D36:G36"/>
    <mergeCell ref="D37:G37"/>
    <mergeCell ref="M2:M3"/>
    <mergeCell ref="L2:L3"/>
    <mergeCell ref="D22:G22"/>
    <mergeCell ref="D23:G23"/>
    <mergeCell ref="D24:G24"/>
    <mergeCell ref="D25:G25"/>
    <mergeCell ref="D26:G26"/>
    <mergeCell ref="D27:G27"/>
    <mergeCell ref="D28:G28"/>
    <mergeCell ref="D17:G17"/>
    <mergeCell ref="D18:G18"/>
    <mergeCell ref="D19:G19"/>
    <mergeCell ref="D20:G20"/>
    <mergeCell ref="D21:G21"/>
    <mergeCell ref="M4:M6"/>
    <mergeCell ref="L4:L6"/>
    <mergeCell ref="M7:M8"/>
    <mergeCell ref="L7:L8"/>
    <mergeCell ref="A7:B8"/>
    <mergeCell ref="D15:G15"/>
    <mergeCell ref="D16:G16"/>
    <mergeCell ref="D9:G9"/>
    <mergeCell ref="D10:G10"/>
    <mergeCell ref="D11:G11"/>
    <mergeCell ref="D12:G12"/>
    <mergeCell ref="D13:G13"/>
    <mergeCell ref="D14:G14"/>
    <mergeCell ref="C7:J7"/>
    <mergeCell ref="C8:J8"/>
  </mergeCells>
  <conditionalFormatting sqref="H10:H153">
    <cfRule type="expression" dxfId="0" priority="28" stopIfTrue="1">
      <formula>AND(I10&lt;&gt;"",H10="")</formula>
    </cfRule>
  </conditionalFormatting>
  <dataValidations count="2">
    <dataValidation type="list" allowBlank="1" showInputMessage="1" showErrorMessage="1" sqref="D10:G153">
      <formula1>INDIRECT("Platos")</formula1>
    </dataValidation>
    <dataValidation type="list" allowBlank="1" showInputMessage="1" showErrorMessage="1" sqref="M7">
      <formula1>$XFA$4:$XFA$7</formula1>
    </dataValidation>
  </dataValidations>
  <pageMargins left="0.38" right="0.33" top="0.4" bottom="0.74803149606299213" header="0.31496062992125984" footer="0.31496062992125984"/>
  <pageSetup paperSize="9" orientation="portrait" r:id="rId1"/>
  <ignoredErrors>
    <ignoredError sqref="A11 A12:A21 B11:B21 C12 A7 C13:C21 J10 J154 M4 I12:J21 J11" unlockedFormula="1"/>
    <ignoredError sqref="C2:H2 C4:E4 F4:H4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51"/>
  <sheetViews>
    <sheetView showGridLines="0" topLeftCell="B1" workbookViewId="0">
      <selection activeCell="J16" sqref="J16"/>
    </sheetView>
  </sheetViews>
  <sheetFormatPr baseColWidth="10" defaultRowHeight="15" x14ac:dyDescent="0.25"/>
  <cols>
    <col min="1" max="1" width="11.42578125" hidden="1" customWidth="1"/>
    <col min="3" max="3" width="23" customWidth="1"/>
    <col min="4" max="4" width="11" customWidth="1"/>
  </cols>
  <sheetData>
    <row r="1" spans="1:7" ht="19.149999999999999" customHeight="1" x14ac:dyDescent="0.25">
      <c r="B1" s="103" t="s">
        <v>1</v>
      </c>
      <c r="C1" s="104"/>
      <c r="D1" s="104"/>
      <c r="E1" s="105"/>
    </row>
    <row r="2" spans="1:7" x14ac:dyDescent="0.25">
      <c r="B2" s="106"/>
      <c r="C2" s="107"/>
      <c r="D2" s="107"/>
      <c r="E2" s="108"/>
    </row>
    <row r="3" spans="1:7" x14ac:dyDescent="0.25">
      <c r="B3" s="56" t="s">
        <v>2</v>
      </c>
      <c r="C3" s="57" t="s">
        <v>3</v>
      </c>
      <c r="D3" s="57" t="s">
        <v>8</v>
      </c>
      <c r="E3" s="56" t="s">
        <v>4</v>
      </c>
    </row>
    <row r="4" spans="1:7" x14ac:dyDescent="0.25">
      <c r="B4" s="17">
        <v>1</v>
      </c>
      <c r="C4" s="16" t="s">
        <v>19</v>
      </c>
      <c r="D4" s="66">
        <v>150</v>
      </c>
      <c r="E4" s="67" t="s">
        <v>5</v>
      </c>
    </row>
    <row r="5" spans="1:7" x14ac:dyDescent="0.25">
      <c r="B5" s="17">
        <v>2</v>
      </c>
      <c r="C5" s="16" t="s">
        <v>18</v>
      </c>
      <c r="D5" s="66">
        <v>150</v>
      </c>
      <c r="E5" s="68" t="s">
        <v>5</v>
      </c>
    </row>
    <row r="6" spans="1:7" ht="14.25" x14ac:dyDescent="0.25">
      <c r="B6" s="17">
        <v>3</v>
      </c>
      <c r="C6" s="16" t="s">
        <v>20</v>
      </c>
      <c r="D6" s="66">
        <v>60</v>
      </c>
      <c r="E6" s="68" t="s">
        <v>5</v>
      </c>
    </row>
    <row r="7" spans="1:7" ht="14.25" x14ac:dyDescent="0.25">
      <c r="B7" s="17">
        <v>4</v>
      </c>
      <c r="C7" s="16" t="s">
        <v>21</v>
      </c>
      <c r="D7" s="66">
        <v>60</v>
      </c>
      <c r="E7" s="68" t="s">
        <v>5</v>
      </c>
    </row>
    <row r="8" spans="1:7" ht="14.25" x14ac:dyDescent="0.25">
      <c r="B8" s="17">
        <v>5</v>
      </c>
      <c r="C8" s="16" t="s">
        <v>22</v>
      </c>
      <c r="D8" s="66">
        <v>150</v>
      </c>
      <c r="E8" s="68" t="s">
        <v>5</v>
      </c>
    </row>
    <row r="9" spans="1:7" ht="14.25" x14ac:dyDescent="0.25">
      <c r="B9" s="17">
        <v>6</v>
      </c>
      <c r="C9" s="16" t="s">
        <v>23</v>
      </c>
      <c r="D9" s="66">
        <v>150</v>
      </c>
      <c r="E9" s="68" t="s">
        <v>5</v>
      </c>
    </row>
    <row r="10" spans="1:7" ht="14.25" x14ac:dyDescent="0.25">
      <c r="B10" s="17">
        <v>7</v>
      </c>
      <c r="C10" s="16" t="s">
        <v>24</v>
      </c>
      <c r="D10" s="66">
        <v>150</v>
      </c>
      <c r="E10" s="68" t="s">
        <v>5</v>
      </c>
    </row>
    <row r="11" spans="1:7" ht="14.25" x14ac:dyDescent="0.25">
      <c r="B11" s="17">
        <v>8</v>
      </c>
      <c r="C11" s="16" t="s">
        <v>25</v>
      </c>
      <c r="D11" s="66">
        <v>40</v>
      </c>
      <c r="E11" s="68" t="s">
        <v>6</v>
      </c>
    </row>
    <row r="12" spans="1:7" ht="14.25" x14ac:dyDescent="0.25">
      <c r="B12" s="17">
        <v>9</v>
      </c>
      <c r="C12" s="16" t="s">
        <v>26</v>
      </c>
      <c r="D12" s="66">
        <v>40</v>
      </c>
      <c r="E12" s="68" t="s">
        <v>6</v>
      </c>
    </row>
    <row r="13" spans="1:7" ht="14.25" x14ac:dyDescent="0.25">
      <c r="B13" s="17">
        <v>10</v>
      </c>
      <c r="C13" s="16" t="s">
        <v>27</v>
      </c>
      <c r="D13" s="66">
        <v>40</v>
      </c>
      <c r="E13" s="68" t="s">
        <v>6</v>
      </c>
    </row>
    <row r="14" spans="1:7" x14ac:dyDescent="0.25">
      <c r="B14" s="17">
        <v>11</v>
      </c>
      <c r="C14" s="16" t="s">
        <v>28</v>
      </c>
      <c r="D14" s="66">
        <v>40</v>
      </c>
      <c r="E14" s="69" t="s">
        <v>6</v>
      </c>
    </row>
    <row r="15" spans="1:7" x14ac:dyDescent="0.25">
      <c r="A15" s="18"/>
      <c r="B15" s="54"/>
      <c r="C15" s="54"/>
      <c r="D15" s="55"/>
      <c r="E15" s="54"/>
      <c r="F15" s="18"/>
      <c r="G15" s="18"/>
    </row>
    <row r="16" spans="1:7" x14ac:dyDescent="0.25">
      <c r="A16" s="18"/>
      <c r="B16" s="18"/>
      <c r="C16" s="18"/>
      <c r="D16" s="18"/>
      <c r="E16" s="18"/>
      <c r="F16" s="18"/>
      <c r="G16" s="18"/>
    </row>
    <row r="17" spans="1:7" x14ac:dyDescent="0.25">
      <c r="A17" s="18"/>
      <c r="B17" s="18"/>
      <c r="C17" s="18"/>
      <c r="D17" s="18"/>
      <c r="E17" s="18"/>
      <c r="F17" s="18"/>
      <c r="G17" s="18"/>
    </row>
    <row r="18" spans="1:7" x14ac:dyDescent="0.25">
      <c r="A18" s="18"/>
      <c r="B18" s="18"/>
      <c r="C18" s="18"/>
      <c r="D18" s="18"/>
      <c r="E18" s="18"/>
      <c r="F18" s="18"/>
      <c r="G18" s="18"/>
    </row>
    <row r="19" spans="1:7" x14ac:dyDescent="0.25">
      <c r="A19" s="18"/>
      <c r="B19" s="18"/>
      <c r="C19" s="18"/>
      <c r="D19" s="18"/>
      <c r="E19" s="18"/>
      <c r="F19" s="18"/>
      <c r="G19" s="18"/>
    </row>
    <row r="20" spans="1:7" x14ac:dyDescent="0.25">
      <c r="A20" s="18"/>
      <c r="B20" s="18"/>
      <c r="C20" s="18"/>
      <c r="D20" s="18"/>
      <c r="E20" s="18"/>
      <c r="F20" s="18"/>
      <c r="G20" s="18"/>
    </row>
    <row r="21" spans="1:7" x14ac:dyDescent="0.25">
      <c r="A21" s="18"/>
      <c r="B21" s="18"/>
      <c r="C21" s="18"/>
      <c r="D21" s="18"/>
      <c r="E21" s="18"/>
      <c r="F21" s="18"/>
      <c r="G21" s="18"/>
    </row>
    <row r="22" spans="1:7" x14ac:dyDescent="0.25">
      <c r="A22" s="18"/>
      <c r="B22" s="18"/>
      <c r="C22" s="18"/>
      <c r="D22" s="18"/>
      <c r="E22" s="18"/>
      <c r="F22" s="18"/>
      <c r="G22" s="18"/>
    </row>
    <row r="23" spans="1:7" x14ac:dyDescent="0.25">
      <c r="A23" s="18"/>
      <c r="B23" s="18"/>
      <c r="C23" s="18"/>
      <c r="D23" s="18"/>
      <c r="E23" s="18"/>
      <c r="F23" s="18"/>
      <c r="G23" s="18"/>
    </row>
    <row r="24" spans="1:7" x14ac:dyDescent="0.25">
      <c r="A24" s="18"/>
      <c r="B24" s="18"/>
      <c r="C24" s="18"/>
      <c r="D24" s="18"/>
      <c r="E24" s="18"/>
      <c r="F24" s="18"/>
      <c r="G24" s="18"/>
    </row>
    <row r="25" spans="1:7" x14ac:dyDescent="0.25">
      <c r="A25" s="18"/>
      <c r="B25" s="18"/>
      <c r="C25" s="18"/>
      <c r="D25" s="18"/>
      <c r="E25" s="18"/>
      <c r="F25" s="18"/>
      <c r="G25" s="18"/>
    </row>
    <row r="26" spans="1:7" x14ac:dyDescent="0.25">
      <c r="A26" s="18"/>
      <c r="B26" s="18"/>
      <c r="C26" s="18"/>
      <c r="D26" s="18"/>
      <c r="E26" s="18"/>
      <c r="F26" s="18"/>
      <c r="G26" s="18"/>
    </row>
    <row r="27" spans="1:7" x14ac:dyDescent="0.25">
      <c r="A27" s="18"/>
      <c r="B27" s="18"/>
      <c r="C27" s="18"/>
      <c r="D27" s="18"/>
      <c r="E27" s="18"/>
      <c r="F27" s="18"/>
      <c r="G27" s="18"/>
    </row>
    <row r="28" spans="1:7" x14ac:dyDescent="0.25">
      <c r="A28" s="18"/>
      <c r="B28" s="18"/>
      <c r="C28" s="18"/>
      <c r="D28" s="18"/>
      <c r="E28" s="18"/>
      <c r="F28" s="18"/>
      <c r="G28" s="18"/>
    </row>
    <row r="29" spans="1:7" x14ac:dyDescent="0.25">
      <c r="A29" s="18"/>
      <c r="B29" s="18"/>
      <c r="C29" s="18"/>
      <c r="D29" s="18"/>
      <c r="E29" s="18"/>
      <c r="F29" s="18"/>
      <c r="G29" s="18"/>
    </row>
    <row r="30" spans="1:7" x14ac:dyDescent="0.25">
      <c r="A30" s="18"/>
      <c r="B30" s="18"/>
      <c r="C30" s="18"/>
      <c r="D30" s="18"/>
      <c r="E30" s="18"/>
      <c r="F30" s="18"/>
      <c r="G30" s="18"/>
    </row>
    <row r="31" spans="1:7" x14ac:dyDescent="0.25">
      <c r="A31" s="18"/>
      <c r="B31" s="18"/>
      <c r="C31" s="18"/>
      <c r="D31" s="18"/>
      <c r="E31" s="18"/>
      <c r="F31" s="18"/>
      <c r="G31" s="18"/>
    </row>
    <row r="32" spans="1:7" x14ac:dyDescent="0.25">
      <c r="A32" s="18"/>
      <c r="B32" s="18"/>
      <c r="C32" s="18"/>
      <c r="D32" s="18"/>
      <c r="E32" s="18"/>
      <c r="F32" s="18"/>
      <c r="G32" s="18"/>
    </row>
    <row r="33" spans="1:7" x14ac:dyDescent="0.25">
      <c r="A33" s="18"/>
      <c r="B33" s="18"/>
      <c r="C33" s="18"/>
      <c r="D33" s="18"/>
      <c r="E33" s="18"/>
      <c r="F33" s="18"/>
      <c r="G33" s="18"/>
    </row>
    <row r="34" spans="1:7" x14ac:dyDescent="0.25">
      <c r="A34" s="18"/>
      <c r="B34" s="18"/>
      <c r="C34" s="18"/>
      <c r="D34" s="18"/>
      <c r="E34" s="18"/>
      <c r="F34" s="18"/>
      <c r="G34" s="18"/>
    </row>
    <row r="35" spans="1:7" x14ac:dyDescent="0.25">
      <c r="A35" s="18"/>
      <c r="B35" s="18"/>
      <c r="C35" s="18"/>
      <c r="D35" s="18"/>
      <c r="E35" s="18"/>
      <c r="F35" s="18"/>
      <c r="G35" s="18"/>
    </row>
    <row r="36" spans="1:7" x14ac:dyDescent="0.25">
      <c r="A36" s="18"/>
      <c r="B36" s="18"/>
      <c r="C36" s="18"/>
      <c r="D36" s="18"/>
      <c r="E36" s="18"/>
      <c r="F36" s="18"/>
      <c r="G36" s="18"/>
    </row>
    <row r="37" spans="1:7" x14ac:dyDescent="0.25">
      <c r="A37" s="18"/>
      <c r="B37" s="18"/>
      <c r="C37" s="18"/>
      <c r="D37" s="18"/>
      <c r="E37" s="18"/>
      <c r="F37" s="18"/>
      <c r="G37" s="18"/>
    </row>
    <row r="38" spans="1:7" x14ac:dyDescent="0.25">
      <c r="A38" s="18"/>
      <c r="B38" s="18"/>
      <c r="C38" s="18"/>
      <c r="D38" s="18"/>
      <c r="E38" s="18"/>
      <c r="F38" s="18"/>
      <c r="G38" s="18"/>
    </row>
    <row r="39" spans="1:7" x14ac:dyDescent="0.25">
      <c r="A39" s="18"/>
      <c r="B39" s="18"/>
      <c r="C39" s="18"/>
      <c r="D39" s="18"/>
      <c r="E39" s="18"/>
      <c r="F39" s="18"/>
      <c r="G39" s="18"/>
    </row>
    <row r="40" spans="1:7" x14ac:dyDescent="0.25">
      <c r="A40" s="18"/>
      <c r="B40" s="18"/>
      <c r="C40" s="18"/>
      <c r="D40" s="18"/>
      <c r="E40" s="18"/>
      <c r="F40" s="18"/>
      <c r="G40" s="18"/>
    </row>
    <row r="41" spans="1:7" x14ac:dyDescent="0.25">
      <c r="A41" s="18"/>
      <c r="B41" s="18"/>
      <c r="C41" s="18"/>
      <c r="D41" s="18"/>
      <c r="E41" s="18"/>
      <c r="F41" s="18"/>
      <c r="G41" s="18"/>
    </row>
    <row r="42" spans="1:7" x14ac:dyDescent="0.25">
      <c r="A42" s="18"/>
      <c r="B42" s="18"/>
      <c r="C42" s="18"/>
      <c r="D42" s="18"/>
      <c r="E42" s="18"/>
      <c r="F42" s="18"/>
      <c r="G42" s="18"/>
    </row>
    <row r="43" spans="1:7" x14ac:dyDescent="0.25">
      <c r="A43" s="18"/>
      <c r="B43" s="18"/>
      <c r="C43" s="18"/>
      <c r="D43" s="18"/>
      <c r="E43" s="18"/>
      <c r="F43" s="18"/>
      <c r="G43" s="18"/>
    </row>
    <row r="44" spans="1:7" x14ac:dyDescent="0.25">
      <c r="A44" s="18"/>
      <c r="B44" s="18"/>
      <c r="C44" s="18"/>
      <c r="D44" s="18"/>
      <c r="E44" s="18"/>
      <c r="F44" s="18"/>
      <c r="G44" s="18"/>
    </row>
    <row r="45" spans="1:7" x14ac:dyDescent="0.25">
      <c r="A45" s="18"/>
      <c r="B45" s="18"/>
      <c r="C45" s="18"/>
      <c r="D45" s="18"/>
      <c r="E45" s="18"/>
      <c r="F45" s="18"/>
      <c r="G45" s="18"/>
    </row>
    <row r="46" spans="1:7" x14ac:dyDescent="0.25">
      <c r="A46" s="18"/>
      <c r="B46" s="18"/>
      <c r="C46" s="18"/>
      <c r="D46" s="18"/>
      <c r="E46" s="18"/>
      <c r="F46" s="18"/>
      <c r="G46" s="18"/>
    </row>
    <row r="47" spans="1:7" x14ac:dyDescent="0.25">
      <c r="A47" s="18"/>
      <c r="B47" s="18"/>
      <c r="C47" s="18"/>
      <c r="D47" s="18"/>
      <c r="E47" s="18"/>
      <c r="F47" s="18"/>
      <c r="G47" s="18"/>
    </row>
    <row r="48" spans="1:7" x14ac:dyDescent="0.25">
      <c r="A48" s="18"/>
      <c r="B48" s="18"/>
      <c r="C48" s="18"/>
      <c r="D48" s="18"/>
      <c r="E48" s="18"/>
      <c r="F48" s="18"/>
      <c r="G48" s="18"/>
    </row>
    <row r="49" spans="1:7" x14ac:dyDescent="0.25">
      <c r="A49" s="18"/>
      <c r="B49" s="18"/>
      <c r="C49" s="18"/>
      <c r="D49" s="18"/>
      <c r="E49" s="18"/>
      <c r="F49" s="18"/>
      <c r="G49" s="18"/>
    </row>
    <row r="50" spans="1:7" x14ac:dyDescent="0.25">
      <c r="A50" s="18"/>
      <c r="B50" s="18"/>
      <c r="C50" s="18"/>
      <c r="D50" s="18"/>
      <c r="E50" s="18"/>
      <c r="F50" s="18"/>
      <c r="G50" s="18"/>
    </row>
    <row r="51" spans="1:7" x14ac:dyDescent="0.25">
      <c r="A51" s="18"/>
      <c r="B51" s="18"/>
      <c r="C51" s="18"/>
      <c r="D51" s="18"/>
      <c r="E51" s="18"/>
      <c r="F51" s="18"/>
      <c r="G51" s="18"/>
    </row>
  </sheetData>
  <mergeCells count="1">
    <mergeCell ref="B1:E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Main</vt:lpstr>
      <vt:lpstr>Platos</vt:lpstr>
      <vt:lpstr>Main!Área_de_impresión</vt:lpstr>
      <vt:lpstr>Platos</vt:lpstr>
    </vt:vector>
  </TitlesOfParts>
  <Company>Telecom Argentina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Pablofsix</dc:creator>
  <dc:description>Excelminiapps.blogspot.com</dc:description>
  <cp:lastModifiedBy>Estudiante</cp:lastModifiedBy>
  <cp:lastPrinted>2018-06-25T15:56:45Z</cp:lastPrinted>
  <dcterms:created xsi:type="dcterms:W3CDTF">2013-08-06T12:22:16Z</dcterms:created>
  <dcterms:modified xsi:type="dcterms:W3CDTF">2018-06-25T17:13:21Z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0078ba2e-9784-44c1-bb72-4ff16f2cec4b</vt:lpwstr>
  </property>
</Properties>
</file>